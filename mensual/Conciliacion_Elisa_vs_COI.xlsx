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ciliacion" sheetId="1" r:id="rId1"/>
  </sheets>
  <calcPr calcId="124519" fullCalcOnLoad="1"/>
</workbook>
</file>

<file path=xl/sharedStrings.xml><?xml version="1.0" encoding="utf-8"?>
<sst xmlns="http://schemas.openxmlformats.org/spreadsheetml/2006/main" count="1667" uniqueCount="1509">
  <si>
    <t>Elisa Cta</t>
  </si>
  <si>
    <t>Elisa Desc</t>
  </si>
  <si>
    <t>Elisa Saldo</t>
  </si>
  <si>
    <t>COI Cta</t>
  </si>
  <si>
    <t>COI Desc</t>
  </si>
  <si>
    <t>COI Saldo</t>
  </si>
  <si>
    <t>Diferencia</t>
  </si>
  <si>
    <t>Estatus</t>
  </si>
  <si>
    <t>101</t>
  </si>
  <si>
    <t>Caja</t>
  </si>
  <si>
    <t>1110-000-000</t>
  </si>
  <si>
    <t>FONDO FIJO DE CAJA</t>
  </si>
  <si>
    <t>101.01</t>
  </si>
  <si>
    <t>Caja y efectivo</t>
  </si>
  <si>
    <t>[AGRUPADO]</t>
  </si>
  <si>
    <t>[SUMA ELISA] CAJA CHICA</t>
  </si>
  <si>
    <t>1110-001-000</t>
  </si>
  <si>
    <t>CAJA CHICA</t>
  </si>
  <si>
    <t>101.01.01</t>
  </si>
  <si>
    <t>(1110-001-000a Caja) Efectivo</t>
  </si>
  <si>
    <t>101.01.02</t>
  </si>
  <si>
    <t>Recibos pendientes</t>
  </si>
  <si>
    <t>101.01.03</t>
  </si>
  <si>
    <t>Pagos pendientes</t>
  </si>
  <si>
    <t>101.01.04</t>
  </si>
  <si>
    <t>(1110-001-000b Caja) CDMX</t>
  </si>
  <si>
    <t>101.01.05</t>
  </si>
  <si>
    <t>101.01.06</t>
  </si>
  <si>
    <t>(1110-001-000c Caja) Import</t>
  </si>
  <si>
    <t>102</t>
  </si>
  <si>
    <t>Bancos</t>
  </si>
  <si>
    <t>SUMA-BANCOS-TOTAL</t>
  </si>
  <si>
    <t>[AGRUPACIÓN COI] BANCOS-TOTAL</t>
  </si>
  <si>
    <t>102.01</t>
  </si>
  <si>
    <t>Bancos nacionales</t>
  </si>
  <si>
    <t>1120-000-000</t>
  </si>
  <si>
    <t>BANCOS</t>
  </si>
  <si>
    <t>102.01.01</t>
  </si>
  <si>
    <t>Cuenta transitoria</t>
  </si>
  <si>
    <t>102.01.02</t>
  </si>
  <si>
    <t>(1120-001-000 BBVA Bancomer MXN) Banco</t>
  </si>
  <si>
    <t>1120-001-000</t>
  </si>
  <si>
    <t>BBVA BANCOMER MXN</t>
  </si>
  <si>
    <t>102.01.03</t>
  </si>
  <si>
    <t>102.01.037</t>
  </si>
  <si>
    <t>102.01.06</t>
  </si>
  <si>
    <t>102.01.07</t>
  </si>
  <si>
    <t>102.02</t>
  </si>
  <si>
    <t>Bancos extranjeros</t>
  </si>
  <si>
    <t>SUMA-BANCOS-USD</t>
  </si>
  <si>
    <t>[AGRUPACIÓN COI] BANCOS-USD</t>
  </si>
  <si>
    <t>102.02.01</t>
  </si>
  <si>
    <t>(1121-001-000 BBVA USD) Transferencias bancarias mone...</t>
  </si>
  <si>
    <t>1121-001-000</t>
  </si>
  <si>
    <t>BBVA USD</t>
  </si>
  <si>
    <t>102.02.02</t>
  </si>
  <si>
    <t>(1122-001-000 Complemento USD)</t>
  </si>
  <si>
    <t>1122-000-000</t>
  </si>
  <si>
    <t>Complemento USD</t>
  </si>
  <si>
    <t>104</t>
  </si>
  <si>
    <t>Otros instrumentos financieros</t>
  </si>
  <si>
    <t>1140-000-000</t>
  </si>
  <si>
    <t>OTROS ACTIVOS FINANCIEROS</t>
  </si>
  <si>
    <t>104.01</t>
  </si>
  <si>
    <t>104.01.01</t>
  </si>
  <si>
    <t>(1140-001-001 Amazon)</t>
  </si>
  <si>
    <t>1140-001-001</t>
  </si>
  <si>
    <t>AMAZON</t>
  </si>
  <si>
    <t>104.01.02</t>
  </si>
  <si>
    <t>(1140-001-002 Mercado Libre)</t>
  </si>
  <si>
    <t>1140-001-002</t>
  </si>
  <si>
    <t>MERCADO LIBRE</t>
  </si>
  <si>
    <t>105</t>
  </si>
  <si>
    <t>Clientes</t>
  </si>
  <si>
    <t>1150-000-000</t>
  </si>
  <si>
    <t>CLIENTES</t>
  </si>
  <si>
    <t>105.01</t>
  </si>
  <si>
    <t>Clientes nacionales</t>
  </si>
  <si>
    <t>SUMA-CLIENTES-NACIONALES</t>
  </si>
  <si>
    <t>[AGRUPACIÓN COI] CLIENTES-NACIONALES</t>
  </si>
  <si>
    <t>105.01.00</t>
  </si>
  <si>
    <t>(11150-001-001 Público en General) Clientes nacionales</t>
  </si>
  <si>
    <t>1150-001-001</t>
  </si>
  <si>
    <t>Público en General</t>
  </si>
  <si>
    <t>105.01.03</t>
  </si>
  <si>
    <t>(1150-005-001 Público en General Amazon)</t>
  </si>
  <si>
    <t>1150-005-001</t>
  </si>
  <si>
    <t>PUBLICO GENERAL AMAZON</t>
  </si>
  <si>
    <t>105.01.04</t>
  </si>
  <si>
    <t>(1150-006-001 Público en General Mercado Libre)</t>
  </si>
  <si>
    <t>1150-006-001</t>
  </si>
  <si>
    <t>PUBLICO EN GENERAL MERCADO LIBRE</t>
  </si>
  <si>
    <t>105.01.05</t>
  </si>
  <si>
    <t>Público en General "otros diferentes a ML y Amazon" (1150-004-001 Publico en general SK)</t>
  </si>
  <si>
    <t>1150-004-001</t>
  </si>
  <si>
    <t>CÓDIGO NO ENCONTRADO</t>
  </si>
  <si>
    <t>105.01.09</t>
  </si>
  <si>
    <t>(1150-001-009 Equipos para Mercados S.A. de C.V.)</t>
  </si>
  <si>
    <t>1150-001-009</t>
  </si>
  <si>
    <t>Equipos para Mercados, S.A. de C.V.</t>
  </si>
  <si>
    <t>105.01.10</t>
  </si>
  <si>
    <t>(1150-001-619 Italian Coffee S.A de C.V.)</t>
  </si>
  <si>
    <t>1150-001-619</t>
  </si>
  <si>
    <t>Italian Coffe SA de CV</t>
  </si>
  <si>
    <t>105.01.11</t>
  </si>
  <si>
    <t>(1150-001-011 Leopoldo Francisco Salinas Garza)</t>
  </si>
  <si>
    <t>1150-001-011</t>
  </si>
  <si>
    <t>Leopoldo Francisco Salinas Garza</t>
  </si>
  <si>
    <t>105.01.12</t>
  </si>
  <si>
    <t>(1150-001-052 / -966 Sigma Alimentos)</t>
  </si>
  <si>
    <t>1150-001-052</t>
  </si>
  <si>
    <t>105.01.13</t>
  </si>
  <si>
    <t>(1150.004.051 Imbera)</t>
  </si>
  <si>
    <t>1150-004-051</t>
  </si>
  <si>
    <t>IMBERA</t>
  </si>
  <si>
    <t>105.01.14</t>
  </si>
  <si>
    <t>(1150-001-808 361 Grados Logística P.O.P.)</t>
  </si>
  <si>
    <t>1150-001-808</t>
  </si>
  <si>
    <t>105.01.16</t>
  </si>
  <si>
    <t>(1150-001-016 ERSA Refrigeración S.A. de C.V.)</t>
  </si>
  <si>
    <t>1150-001-016</t>
  </si>
  <si>
    <t>ERSA Refrigeración, S.A. de C.V.</t>
  </si>
  <si>
    <t>105.01.17</t>
  </si>
  <si>
    <t>(1150-004-241) Gustavo Villarreal Garza</t>
  </si>
  <si>
    <t>1150-004-241</t>
  </si>
  <si>
    <t>GUSTAVO VILLARREAL GARZA</t>
  </si>
  <si>
    <t>105.01.18</t>
  </si>
  <si>
    <t>(1150-004-305) Intec de México</t>
  </si>
  <si>
    <t>1150-004-305</t>
  </si>
  <si>
    <t>INTEC DE MEXICO</t>
  </si>
  <si>
    <t>105.01.80</t>
  </si>
  <si>
    <t>(1150-001-080 Refrimed S.A. de C.V.)</t>
  </si>
  <si>
    <t>1150-001-080</t>
  </si>
  <si>
    <t>REFRIMED S.A DE C.V</t>
  </si>
  <si>
    <t>105.01.82</t>
  </si>
  <si>
    <t>(1150-001-119 Cocinas Institucionales S.A. de C.V.)</t>
  </si>
  <si>
    <t>1150-001-119</t>
  </si>
  <si>
    <t>COCINAS INSTITUCIONALES S.A. DE C.V.</t>
  </si>
  <si>
    <t>105.01.84</t>
  </si>
  <si>
    <t>(1150.001.156 Villa Industrias S.A. de C.V.)</t>
  </si>
  <si>
    <t>1150-001-156</t>
  </si>
  <si>
    <t>VILLA INDUSTRIAS SA DE CV</t>
  </si>
  <si>
    <t>105.01.85</t>
  </si>
  <si>
    <t>(1150-001-282 Equipamiento Turbo Air Mexicana)</t>
  </si>
  <si>
    <t>1150-001-282</t>
  </si>
  <si>
    <t>EQUIPAMIENTO TURBO AIR MEXICANA</t>
  </si>
  <si>
    <t>105.01.88</t>
  </si>
  <si>
    <t>(1150-001-082 ICEE de México S.A. de C.V.)</t>
  </si>
  <si>
    <t>1150-001-082</t>
  </si>
  <si>
    <t>ICEE DE MEXICO SA DE CV</t>
  </si>
  <si>
    <t>105.01.89</t>
  </si>
  <si>
    <t>(1150-001-203 Inoxcuina S.A. de C.V.)</t>
  </si>
  <si>
    <t>1150-001-203</t>
  </si>
  <si>
    <t>INOXCUINA S.A. de C.V.</t>
  </si>
  <si>
    <t>105.01.91</t>
  </si>
  <si>
    <t>(1215-001-003 Matech of Americans Corp. S. de R.L. de C.V.)</t>
  </si>
  <si>
    <t>1215-001-003</t>
  </si>
  <si>
    <t>105.01.92</t>
  </si>
  <si>
    <t>(1150-001-081 Nurimed)</t>
  </si>
  <si>
    <t>1150-001-081</t>
  </si>
  <si>
    <t>Nurimed, S.A. de C.V.</t>
  </si>
  <si>
    <t>105.01.93</t>
  </si>
  <si>
    <t>(1150-001-039 Prochef Soluciones)</t>
  </si>
  <si>
    <t>1150-001-039</t>
  </si>
  <si>
    <t>105.02</t>
  </si>
  <si>
    <t>Clientes extranjeros</t>
  </si>
  <si>
    <t>SUMA-CLIENTES-EXTRANJEROS</t>
  </si>
  <si>
    <t>[AGRUPACIÓN COI] CLIENTES-EXTRANJEROS</t>
  </si>
  <si>
    <t>105.02.00</t>
  </si>
  <si>
    <t>1150.002.000 Clientes Extranjeros</t>
  </si>
  <si>
    <t>105.02.01</t>
  </si>
  <si>
    <t>(1150.002.006 EDSI)</t>
  </si>
  <si>
    <t>1150-002-006</t>
  </si>
  <si>
    <t>EDSI</t>
  </si>
  <si>
    <t>105.02.03</t>
  </si>
  <si>
    <t>(1150.002.005 ICE Qube Inc)</t>
  </si>
  <si>
    <t>1150-002-005</t>
  </si>
  <si>
    <t>ICE QUBE INC</t>
  </si>
  <si>
    <t>105.02.04</t>
  </si>
  <si>
    <t>(1150.002.003 Verzosi S.A.)</t>
  </si>
  <si>
    <t>1150-002-003</t>
  </si>
  <si>
    <t>VERZOSI S.A.</t>
  </si>
  <si>
    <t>105.02.05</t>
  </si>
  <si>
    <t>(1150-002-008) Nestlé Centroamérica</t>
  </si>
  <si>
    <t>1150-002-008</t>
  </si>
  <si>
    <t>NESTLE CENTROAMERICA</t>
  </si>
  <si>
    <t>105.02.84</t>
  </si>
  <si>
    <t>(1150-003-005 Compañía Internacional de Productos y Servicios S.A. de C.V.)</t>
  </si>
  <si>
    <t>1150-003-005</t>
  </si>
  <si>
    <t>107</t>
  </si>
  <si>
    <t>Deudores diversos</t>
  </si>
  <si>
    <t>1170-000-000</t>
  </si>
  <si>
    <t>DEUDORES DIVERSOS</t>
  </si>
  <si>
    <t>107.01</t>
  </si>
  <si>
    <t>Suma 107.01</t>
  </si>
  <si>
    <t>107.01.01</t>
  </si>
  <si>
    <t>(1170.001.000 Funcionarios y Empleados)</t>
  </si>
  <si>
    <t>1170-001-000</t>
  </si>
  <si>
    <t>107.02</t>
  </si>
  <si>
    <t>Socios y accionistas</t>
  </si>
  <si>
    <t>1170-002-000</t>
  </si>
  <si>
    <t>SOCIOS Y ACCIONISTAS</t>
  </si>
  <si>
    <t>107.02.01.01</t>
  </si>
  <si>
    <t>(1170-002-001) Juan José Silvino Rodríguez</t>
  </si>
  <si>
    <t>1170-002-001</t>
  </si>
  <si>
    <t>107.02.01.02</t>
  </si>
  <si>
    <t>(1170-002-002) Leobardo Rodríguez</t>
  </si>
  <si>
    <t>1170-002-002</t>
  </si>
  <si>
    <t>107.02.01.03</t>
  </si>
  <si>
    <t>(1170-002-003) Samuel Villa</t>
  </si>
  <si>
    <t>1170-002-003</t>
  </si>
  <si>
    <t>SAMUEL VILLA</t>
  </si>
  <si>
    <t>107.02.01.04</t>
  </si>
  <si>
    <t>(1170-002-004) Kathrin Jochum</t>
  </si>
  <si>
    <t>1170-002-004</t>
  </si>
  <si>
    <t>KATHRIN JOCHUM</t>
  </si>
  <si>
    <t>107.05</t>
  </si>
  <si>
    <t>Otros deudores diversos</t>
  </si>
  <si>
    <t>107.05.01</t>
  </si>
  <si>
    <t>Mercancías Enviadas - No Facturas</t>
  </si>
  <si>
    <t>107.05.02</t>
  </si>
  <si>
    <t>(1170-004-000 Samuel Edmundo Villa Rodríguez)</t>
  </si>
  <si>
    <t>1170-004-000</t>
  </si>
  <si>
    <t>SAMUEL EDMUNDO VILLA RODRIGUEZ</t>
  </si>
  <si>
    <t>107.05.04</t>
  </si>
  <si>
    <t>(1170.006.000 Luis Alberto Rivera Olvera)</t>
  </si>
  <si>
    <t>1170-006-000</t>
  </si>
  <si>
    <t>LUIS ALBERTO RIVERA OLVERA</t>
  </si>
  <si>
    <t>107.05.05</t>
  </si>
  <si>
    <t>(1170.007.000 Anticipos de Importaciones)</t>
  </si>
  <si>
    <t>1170-007-000</t>
  </si>
  <si>
    <t>ANTICIPOS DE IMPORTACIONES</t>
  </si>
  <si>
    <t>107.05.06</t>
  </si>
  <si>
    <t>(1170-003-000 Otros Deudores Diversos)</t>
  </si>
  <si>
    <t>1170-003-000</t>
  </si>
  <si>
    <t>107.05.07</t>
  </si>
  <si>
    <t>(1170-012-000 Michel Mata Infonavit)</t>
  </si>
  <si>
    <t>1170-012-000</t>
  </si>
  <si>
    <t>MICHEL MATA INFONAVIT</t>
  </si>
  <si>
    <t>107.05.13</t>
  </si>
  <si>
    <t>(1170-003-001 Norma Angélica Ramírez Ruíz)</t>
  </si>
  <si>
    <t>1170-003-001</t>
  </si>
  <si>
    <t>107.05.14</t>
  </si>
  <si>
    <t>(1170.003.002 Kathrin Jochum)</t>
  </si>
  <si>
    <t>1170-003-002</t>
  </si>
  <si>
    <t>[SUMA ELISA] SAMUEL EDMUNDO VILLA RODRIGUEZ</t>
  </si>
  <si>
    <t>2120-001-001</t>
  </si>
  <si>
    <t>205.02.01</t>
  </si>
  <si>
    <t>(2120-001-001 Samuel Edmundo Villa Rodríguez) (Reclasificado)</t>
  </si>
  <si>
    <t>205.02.17</t>
  </si>
  <si>
    <t>(2120-001-001 Samuel Edmundo Villa Rodríguez) Samuel Villa TC BX (Reclasificado)</t>
  </si>
  <si>
    <t>205.02.25</t>
  </si>
  <si>
    <t>(2120-001-001 Samuel Edmundo Villa Rodríguez) Samuel Villa TC Clara 4695 (Reclasificado)</t>
  </si>
  <si>
    <t>107 Deudores diversos MENOS 107.05.01 Mercancías Enviadas - No Facturas</t>
  </si>
  <si>
    <t>109</t>
  </si>
  <si>
    <t>Pagos anticipados</t>
  </si>
  <si>
    <t>1210-000-000</t>
  </si>
  <si>
    <t>PAGOS ANTICIPADOS</t>
  </si>
  <si>
    <t>109.01</t>
  </si>
  <si>
    <t>Seguros y fianzas pagados por anticipado nacional</t>
  </si>
  <si>
    <t>109.01.01</t>
  </si>
  <si>
    <t>(1210.001.000 Seguros y Fianzas)</t>
  </si>
  <si>
    <t>1210-001-000</t>
  </si>
  <si>
    <t>SEGUROS Y FIANZAS</t>
  </si>
  <si>
    <t>109.23</t>
  </si>
  <si>
    <t>Otros pagos anticipados</t>
  </si>
  <si>
    <t>109.23.01</t>
  </si>
  <si>
    <t>(1210.003.000 Gastos pagados por anticipado)</t>
  </si>
  <si>
    <t>1210-003-000</t>
  </si>
  <si>
    <t>GASTOS PAGADOS POR ANTICIPADO</t>
  </si>
  <si>
    <t>113</t>
  </si>
  <si>
    <t>Impuestos a favor</t>
  </si>
  <si>
    <t>1180-000-000</t>
  </si>
  <si>
    <t>IMPUESTOS A FAVOR</t>
  </si>
  <si>
    <t>113.01</t>
  </si>
  <si>
    <t>IVA a favor</t>
  </si>
  <si>
    <t>113.01.01</t>
  </si>
  <si>
    <t>(1180.001.000 IVA a favor)</t>
  </si>
  <si>
    <t>1180-001-000</t>
  </si>
  <si>
    <t>IVA A FAVOR</t>
  </si>
  <si>
    <t>113.02</t>
  </si>
  <si>
    <t>ISR a favor</t>
  </si>
  <si>
    <t>113.02.01</t>
  </si>
  <si>
    <t>(1180.002.000 ISR a favor) ISR Retenido</t>
  </si>
  <si>
    <t>1180-002-000</t>
  </si>
  <si>
    <t>ISR A FAVOR</t>
  </si>
  <si>
    <t>113.06</t>
  </si>
  <si>
    <t>Subsidio al empleo</t>
  </si>
  <si>
    <t>113.06.01</t>
  </si>
  <si>
    <t>(1180.003.000 Subsidio al empleo)</t>
  </si>
  <si>
    <t>1180-003-000</t>
  </si>
  <si>
    <t>SUBSIDIO AL EMPLEO</t>
  </si>
  <si>
    <t>114</t>
  </si>
  <si>
    <t>Pagos provisionales</t>
  </si>
  <si>
    <t>1220-000-000</t>
  </si>
  <si>
    <t>ANTICIPOS DE IMPUESTOS</t>
  </si>
  <si>
    <t>114.01</t>
  </si>
  <si>
    <t>Pagos provisionales de ISR</t>
  </si>
  <si>
    <t>114.01.01</t>
  </si>
  <si>
    <t>(1220.001.000 Pagos provisionales de ISR)</t>
  </si>
  <si>
    <t>1220-001-000</t>
  </si>
  <si>
    <t>PAGOS PROVISIONALES DE ISR</t>
  </si>
  <si>
    <t>114.01.03</t>
  </si>
  <si>
    <t>(1220-003-000) Subsidio al empleo</t>
  </si>
  <si>
    <t>1220-003-000</t>
  </si>
  <si>
    <t>114.01.04</t>
  </si>
  <si>
    <t>(1220-004-000) ISR RETENIDO POR PLATAFORMA</t>
  </si>
  <si>
    <t>1220-004-000</t>
  </si>
  <si>
    <t>ISR RETENIDO POR PLATAFORMA</t>
  </si>
  <si>
    <t>114.01.05</t>
  </si>
  <si>
    <t>(1220-005-000) IVA RETENIDO POR PLATAFORMA)</t>
  </si>
  <si>
    <t>1220-005-000</t>
  </si>
  <si>
    <t>IVA RETENIDO POR PLATAFORMA</t>
  </si>
  <si>
    <t>[SUMA ELISA] INVENTARIOS</t>
  </si>
  <si>
    <t>1190-000-000</t>
  </si>
  <si>
    <t>INVENTARIOS</t>
  </si>
  <si>
    <t>115</t>
  </si>
  <si>
    <t>Inventario</t>
  </si>
  <si>
    <t>115.01</t>
  </si>
  <si>
    <t>115.01.01</t>
  </si>
  <si>
    <t>(1190-000-000 Inventario)</t>
  </si>
  <si>
    <t>118</t>
  </si>
  <si>
    <t>Impuestos acreditables pagados</t>
  </si>
  <si>
    <t>1200-000-000</t>
  </si>
  <si>
    <t>IMPUESTOS ACREDITABLES</t>
  </si>
  <si>
    <t>118.01</t>
  </si>
  <si>
    <t>IVA acreditable pagado</t>
  </si>
  <si>
    <t>118.01.01</t>
  </si>
  <si>
    <t>(1200.001.000) IVA acreditable pagado</t>
  </si>
  <si>
    <t>1200-001-000</t>
  </si>
  <si>
    <t>IVA ACREDITABLE PAGADO</t>
  </si>
  <si>
    <t>118.01.02</t>
  </si>
  <si>
    <t>(1200-004-000) IVA Importaciones) IVA acreditable pagado al 8%</t>
  </si>
  <si>
    <t>1200-004-000</t>
  </si>
  <si>
    <t>IVA IMPORTACIONES</t>
  </si>
  <si>
    <t>118.03</t>
  </si>
  <si>
    <t>IEPS acreditable pagado</t>
  </si>
  <si>
    <t>118.03.01</t>
  </si>
  <si>
    <t>(1200-002-000 IEPS acreditable pagado)</t>
  </si>
  <si>
    <t>1200-002-000</t>
  </si>
  <si>
    <t>119</t>
  </si>
  <si>
    <t>Impuestos acreditables por pagar</t>
  </si>
  <si>
    <t>1201-000-000</t>
  </si>
  <si>
    <t>IMPUESTOS POR ACREDITAR</t>
  </si>
  <si>
    <t>119.01</t>
  </si>
  <si>
    <t>IVA pendiente de pago</t>
  </si>
  <si>
    <t>119.01.01</t>
  </si>
  <si>
    <t>(1201.001.000 IVA por acreditar) IVA pendiente de pago</t>
  </si>
  <si>
    <t>1201-001-000</t>
  </si>
  <si>
    <t>IVA POR ACREDITAR</t>
  </si>
  <si>
    <t>119.03</t>
  </si>
  <si>
    <t>IEPS pendiente de pago</t>
  </si>
  <si>
    <t>119.03.01</t>
  </si>
  <si>
    <t>(1201-002-000 IEPS por acreditar) IEPS pendiente</t>
  </si>
  <si>
    <t>1201-002-000</t>
  </si>
  <si>
    <t>IEPS POR ACREDITAR</t>
  </si>
  <si>
    <t>120</t>
  </si>
  <si>
    <t>Anticipo a proveedores</t>
  </si>
  <si>
    <t>1215-000-000</t>
  </si>
  <si>
    <t>ANTICIPOS A PROVEEDORES</t>
  </si>
  <si>
    <t>120.01</t>
  </si>
  <si>
    <t>Anticipo a proveedores nacional</t>
  </si>
  <si>
    <t>(1215.001.000) Anticipo a proveedores nacional</t>
  </si>
  <si>
    <t>1215-001-000</t>
  </si>
  <si>
    <t>ANTICIPO PROVEEDOR #</t>
  </si>
  <si>
    <t>120.01.04</t>
  </si>
  <si>
    <t>(1215.001.004 Toyar)</t>
  </si>
  <si>
    <t>1215-001-004</t>
  </si>
  <si>
    <t>120.01.07</t>
  </si>
  <si>
    <t>(1215-001-007 Creatividad en eventos)</t>
  </si>
  <si>
    <t>1215-001-007</t>
  </si>
  <si>
    <t>120.01.08</t>
  </si>
  <si>
    <t>(1215-001-008 EX02 Sigma)</t>
  </si>
  <si>
    <t>1215-001-008</t>
  </si>
  <si>
    <t>EX02 Sigma</t>
  </si>
  <si>
    <t>120.01.09</t>
  </si>
  <si>
    <t>(1215-001-009 Septiembre)</t>
  </si>
  <si>
    <t>1215-001-009</t>
  </si>
  <si>
    <t>VARIOS</t>
  </si>
  <si>
    <t>120.01.10</t>
  </si>
  <si>
    <t>(1215-001-010 Digi-Key Electronics)</t>
  </si>
  <si>
    <t>1215-001-010</t>
  </si>
  <si>
    <t>Digi-Key Electronics</t>
  </si>
  <si>
    <t>120.02</t>
  </si>
  <si>
    <t>Anticipo a proveedores extranjero</t>
  </si>
  <si>
    <t>120.02.01</t>
  </si>
  <si>
    <t>1215-002-000</t>
  </si>
  <si>
    <t>153</t>
  </si>
  <si>
    <t>Maquinaria y equipo</t>
  </si>
  <si>
    <t>1310-006-000</t>
  </si>
  <si>
    <t>EQUIPO DE TRABAJO</t>
  </si>
  <si>
    <t>153.01</t>
  </si>
  <si>
    <t>153.01.00</t>
  </si>
  <si>
    <t>(1310.006.004 Maquinaría Shenzhen Oubel Technology)</t>
  </si>
  <si>
    <t>1310-006-004</t>
  </si>
  <si>
    <t>Maquinaria Shenzhen Oubel Technology</t>
  </si>
  <si>
    <t>153.01.01</t>
  </si>
  <si>
    <t>(1310-006-001 Troi 770 EL InLine 3D Solder Pemtron Tec)</t>
  </si>
  <si>
    <t>1310-006-001</t>
  </si>
  <si>
    <t>TROI 770 EL InLine 3D Solder Pemtron Tec</t>
  </si>
  <si>
    <t>153.01.02</t>
  </si>
  <si>
    <t>(1310-006-002 EX04-Thor) Máquinas Seho GoWave</t>
  </si>
  <si>
    <t>1310-006-002</t>
  </si>
  <si>
    <t>EX04 Thor</t>
  </si>
  <si>
    <t>153.01.03</t>
  </si>
  <si>
    <t>(1310-006-009) Mesa de trabajo industrial (0.90m. de ancho x 1.20m. de largo x 0.63 m.de altura</t>
  </si>
  <si>
    <t>1310-006-009</t>
  </si>
  <si>
    <t>MESA DE TRABAJO INDUSTRIAL</t>
  </si>
  <si>
    <t>153.01.04</t>
  </si>
  <si>
    <t>(1310-006-007) Speedline Momentum N/S M202002</t>
  </si>
  <si>
    <t>1310-006-007</t>
  </si>
  <si>
    <t>MAQUINA -  MPM Speed $41,293.90 usd</t>
  </si>
  <si>
    <t>153.01.05</t>
  </si>
  <si>
    <t>(1310-006-008 MAQUINA -  Advantis 55) Chipshooter Universal Instruments 4983A, N/S 10095522</t>
  </si>
  <si>
    <t>1310-006-008</t>
  </si>
  <si>
    <t>MAQUINA -  Advantis 55 $649,600.00</t>
  </si>
  <si>
    <t>[SUMA ELISA] EX08 - SMT</t>
  </si>
  <si>
    <t>1310-006-006</t>
  </si>
  <si>
    <t>EX08 - SMT</t>
  </si>
  <si>
    <t>153.01.06</t>
  </si>
  <si>
    <t>(1310-006-006 EX08 - SMT) Universal Instruments Corporation, Model: RAD5, SN#: 6360C39788441624906</t>
  </si>
  <si>
    <t>153.01.07</t>
  </si>
  <si>
    <t>(1310-006-006 EX08 - SMT)Universal Instruments Corporation, Model: VCD3, SN#: 6241C39571-4-40623406</t>
  </si>
  <si>
    <t>153.01.08</t>
  </si>
  <si>
    <t>(1310-006-011 FBM - Máquina Tempering machine - 28) Tempering machine AURA 4kg serial number 24-0051-004</t>
  </si>
  <si>
    <t>1310-006-011</t>
  </si>
  <si>
    <t>FBM - Máquina Tempering machine - 28</t>
  </si>
  <si>
    <t>153.01.09</t>
  </si>
  <si>
    <t>(1310.006.005 EQUIPO DE MEDICION LCX100 - LCX-Z4) Equipo de medición LCR</t>
  </si>
  <si>
    <t>1310-006-005</t>
  </si>
  <si>
    <t>EQUIPO DE MEDICION LCX100 - LCX-Z4</t>
  </si>
  <si>
    <t>153.01.10</t>
  </si>
  <si>
    <t>(1310.006.003) Racks y Estantes</t>
  </si>
  <si>
    <t>1310-006-003</t>
  </si>
  <si>
    <t>RACKS Y ESTANTES</t>
  </si>
  <si>
    <t>153.01.11</t>
  </si>
  <si>
    <t>(1310-006-012 SPIN HA B 02 SPINNING MACHINE B INCLUYE) Spinning Machine B  N/S 1600032 (Freilich)</t>
  </si>
  <si>
    <t>1310-006-012</t>
  </si>
  <si>
    <t>SPIN HA B 02 SPINNING MACHINE B INCLUYE</t>
  </si>
  <si>
    <t>153.01.12</t>
  </si>
  <si>
    <t>(1310-006-013)-Universal Instruments Corporation, Model: R4993D Genesis GC-305, SN#: 10295339</t>
  </si>
  <si>
    <t>1310-006-013</t>
  </si>
  <si>
    <t>Universal Instruments 2016 -Genesis GC-3</t>
  </si>
  <si>
    <t>153.01.13</t>
  </si>
  <si>
    <t>(1310-006-014 AOI 3D Eagle 8800 HL InLine Pemtron Tec)</t>
  </si>
  <si>
    <t>1310-006-014</t>
  </si>
  <si>
    <t>AOI 3D Eagle 8800 HL InLine Pemtron Tec</t>
  </si>
  <si>
    <t>154</t>
  </si>
  <si>
    <t>Automóviles, autobuses, camiones de carga, tractocamiones, montacargas y remolques</t>
  </si>
  <si>
    <t>1310-003-000</t>
  </si>
  <si>
    <t>EQUIPO DE TRANSPORTE</t>
  </si>
  <si>
    <t>154.01</t>
  </si>
  <si>
    <t>154.01.01</t>
  </si>
  <si>
    <t>(1310.003.001 Toyota 2013 Highlander Nov-2019)</t>
  </si>
  <si>
    <t>1310-003-001</t>
  </si>
  <si>
    <t>TOYOTA 2013 HIGHLANDER    NOV-2019</t>
  </si>
  <si>
    <t>154.01.02</t>
  </si>
  <si>
    <t>(1310-003-002 CHEVROLET 2025 SPARK OCT-2024)</t>
  </si>
  <si>
    <t>1310-003-002</t>
  </si>
  <si>
    <t>CHEVROLET 2025 SPARK OCT-2024</t>
  </si>
  <si>
    <t>155</t>
  </si>
  <si>
    <t>Mobiliario y equipo de oficina</t>
  </si>
  <si>
    <t>1310-005-000</t>
  </si>
  <si>
    <t>EQUIPO DE OFICINA</t>
  </si>
  <si>
    <t>155.01</t>
  </si>
  <si>
    <t>155.01.00</t>
  </si>
  <si>
    <t>(1310.005.030 Equipo de Oficina)</t>
  </si>
  <si>
    <t>1310-005-030</t>
  </si>
  <si>
    <t>155.01.01</t>
  </si>
  <si>
    <t>(1310-005-001 Escritorio Ejecutivo Stark Nov-2018)</t>
  </si>
  <si>
    <t>1310-005-001</t>
  </si>
  <si>
    <t>ESCRITORIO EJECUTIVO STARK NOV-2018</t>
  </si>
  <si>
    <t>155.01.02</t>
  </si>
  <si>
    <t>(1310-005-002 Retorno ejecutivo Klass Nov-2018)</t>
  </si>
  <si>
    <t>1310-005-002</t>
  </si>
  <si>
    <t>RETORNO EJECUTIVO KLASS NOV-2018</t>
  </si>
  <si>
    <t>155.01.03</t>
  </si>
  <si>
    <t>(1310-005-003 Credenza Ejecutiva Klass Ceniza Nov-2018)</t>
  </si>
  <si>
    <t>1310-005-003</t>
  </si>
  <si>
    <t>CREDENZA EJECUTIVA KLASS CENIZA NOV-2018</t>
  </si>
  <si>
    <t>155.01.04</t>
  </si>
  <si>
    <t>(1310-005-004 Archivero Movil Nov-2018)</t>
  </si>
  <si>
    <t>1310-005-004</t>
  </si>
  <si>
    <t>ARCHIVERO MOVIL NOV-2018</t>
  </si>
  <si>
    <t>155.01.05</t>
  </si>
  <si>
    <t>(1310-005-005 Sillón Ergonómico Nov-2018)</t>
  </si>
  <si>
    <t>1310-005-005</t>
  </si>
  <si>
    <t>SILLON ERGONOMICO NOV-2018</t>
  </si>
  <si>
    <t>155.01.06</t>
  </si>
  <si>
    <t>(1310-005-006 Librero de piso Nov-2018)</t>
  </si>
  <si>
    <t>1310-005-006</t>
  </si>
  <si>
    <t>LIBRERO DE PISO NOV-2018</t>
  </si>
  <si>
    <t>155.01.07</t>
  </si>
  <si>
    <t>(1310-005-007 Silla c brazo Myra Ratn pvc beige may-20)</t>
  </si>
  <si>
    <t>1310-005-007</t>
  </si>
  <si>
    <t>SILLA C BRAZO MYRA RATN PVC BEIGE MAY-20</t>
  </si>
  <si>
    <t>155.01.08</t>
  </si>
  <si>
    <t>(1310-005-008 Mesa rectangular4 Myra madera beige May-)</t>
  </si>
  <si>
    <t>1310-005-008</t>
  </si>
  <si>
    <t>MESA RECTANGULAR MYRA MADERA BEIGE MAY-</t>
  </si>
  <si>
    <t>155.01.09</t>
  </si>
  <si>
    <t>(1310-005-009 Mobiliario y equipo de oficina sep-19)</t>
  </si>
  <si>
    <t>1310-005-009</t>
  </si>
  <si>
    <t>MOBILIARIO Y EQUIPO OFICINA   SEP - 19</t>
  </si>
  <si>
    <t>155.01.10</t>
  </si>
  <si>
    <t>(1310-005-010 Refrigerador acros 7P3)</t>
  </si>
  <si>
    <t>1310-005-010</t>
  </si>
  <si>
    <t>REFRIGERADOR ACROS 7P3</t>
  </si>
  <si>
    <t>155.01.11</t>
  </si>
  <si>
    <t>(1310-005-011 Silla y Escritorio)</t>
  </si>
  <si>
    <t>1310-005-011</t>
  </si>
  <si>
    <t>SILLA Y ESCRITORIO</t>
  </si>
  <si>
    <t>155.01.12</t>
  </si>
  <si>
    <t>(1310-005-012 Silla Walmart)</t>
  </si>
  <si>
    <t>1310-005-012</t>
  </si>
  <si>
    <t>SILLA WALMART</t>
  </si>
  <si>
    <t>155.01.13</t>
  </si>
  <si>
    <t>(1310-005-013 Teléfono inalámbrico 2 line land)</t>
  </si>
  <si>
    <t>1310-005-013</t>
  </si>
  <si>
    <t>TELEFONO INALAMBRICO 2 LINE LAND</t>
  </si>
  <si>
    <t>155.01.14</t>
  </si>
  <si>
    <t>(1310-005-014 04 Dipositivos de audio y video)</t>
  </si>
  <si>
    <t>1310-005-014</t>
  </si>
  <si>
    <t>04 DISPOSITIVOS DE AUDIO Y VIDEO</t>
  </si>
  <si>
    <t>155.01.15</t>
  </si>
  <si>
    <t>(1310-005-021 silla ergonómica ejecutiva) Mobiliario y equipo de oficina</t>
  </si>
  <si>
    <t>1310-005-021</t>
  </si>
  <si>
    <t>SILLA ERGONOMICA EJECUTIVA COLOR NEGRO</t>
  </si>
  <si>
    <t>155.01.16</t>
  </si>
  <si>
    <t>(1310-005-016 Escritorio L Walmart 14/08/2023)</t>
  </si>
  <si>
    <t>1310-005-016</t>
  </si>
  <si>
    <t>ESCRITORIO L WALMART 14/08/2023</t>
  </si>
  <si>
    <t>155.01.17</t>
  </si>
  <si>
    <t>(1310-005-020 Escritorio L Walmart Enero 2024)</t>
  </si>
  <si>
    <t>1310-005-020</t>
  </si>
  <si>
    <t>ESCRITORIO L *  WALMART ENERO 2024</t>
  </si>
  <si>
    <t>155.01.18</t>
  </si>
  <si>
    <t>(1310-005-018 Sharp 4K Smart LED 65)</t>
  </si>
  <si>
    <t>1310-005-018</t>
  </si>
  <si>
    <t>Sharp 4K Smart LED 65</t>
  </si>
  <si>
    <t>155.01.19</t>
  </si>
  <si>
    <t>(1310-005-015 Silla Ergonómica Ejecutiva)</t>
  </si>
  <si>
    <t>1310-005-015</t>
  </si>
  <si>
    <t>SILLA ERGONOMICA</t>
  </si>
  <si>
    <t>155.01.20</t>
  </si>
  <si>
    <t>(1310-005-017 4 bancas plegables) Banca   MODAMOB   plegable</t>
  </si>
  <si>
    <t>1310-005-017</t>
  </si>
  <si>
    <t>4 bancas peglables</t>
  </si>
  <si>
    <t>155.01.21</t>
  </si>
  <si>
    <t>(1310-005-019 silla ergonómica) Silla Ergonómica Ejecut</t>
  </si>
  <si>
    <t>1310-005-019</t>
  </si>
  <si>
    <t>silla ergonomica</t>
  </si>
  <si>
    <t>155.01.22</t>
  </si>
  <si>
    <t>(1310-005-022 Archivero dos cajones plata Walmart) Dic 2025</t>
  </si>
  <si>
    <t>1310-005-022</t>
  </si>
  <si>
    <t>Archivero dos cajones plata</t>
  </si>
  <si>
    <t>156</t>
  </si>
  <si>
    <t>Equipo de cómputo</t>
  </si>
  <si>
    <t>1310-004-000</t>
  </si>
  <si>
    <t>EQUIPO DE COMPUTO</t>
  </si>
  <si>
    <t>156.01</t>
  </si>
  <si>
    <t>156.01.00</t>
  </si>
  <si>
    <t>(1310-004-008 Impresora de Etiquetas)</t>
  </si>
  <si>
    <t>1310-004-008</t>
  </si>
  <si>
    <t>IMPRESORA DE ETIQUETAS</t>
  </si>
  <si>
    <t>156.01.01</t>
  </si>
  <si>
    <t>(1310-004-001 Procesador BX .- Ago 2019)</t>
  </si>
  <si>
    <t>1310-004-001</t>
  </si>
  <si>
    <t>PROCESADOR BX - AGO 2019</t>
  </si>
  <si>
    <t>156.01.02</t>
  </si>
  <si>
    <t>(1310-004-002 HP 24)</t>
  </si>
  <si>
    <t>1310-004-002</t>
  </si>
  <si>
    <t>HP 24 - AGO 2019</t>
  </si>
  <si>
    <t>156.01.03</t>
  </si>
  <si>
    <t>(1310-004-003 Monitor Samsung Sep 2019)</t>
  </si>
  <si>
    <t>1310-004-003</t>
  </si>
  <si>
    <t>MONITOR SAMSUNG - SEP 2019</t>
  </si>
  <si>
    <t>156.01.04</t>
  </si>
  <si>
    <t>(1310-004-004 Modem - Ene 20)</t>
  </si>
  <si>
    <t>1310-004-004</t>
  </si>
  <si>
    <t>MODEM - ENE 20</t>
  </si>
  <si>
    <t>156.01.05</t>
  </si>
  <si>
    <t>(1310-004-005 Impresora Epson - marzo 2020)</t>
  </si>
  <si>
    <t>1310-004-005</t>
  </si>
  <si>
    <t>IMPRESORA EPSON - MARZO 2020</t>
  </si>
  <si>
    <t>156.01.06</t>
  </si>
  <si>
    <t>(1310-004-006 Procesador Inter Core I7 9700)</t>
  </si>
  <si>
    <t>1310-004-006</t>
  </si>
  <si>
    <t>PROCESADOR INTER CORE I7 9700</t>
  </si>
  <si>
    <t>156.01.07</t>
  </si>
  <si>
    <t>(1310-004-012 Monitor LED BenQ 21.5" Full HD 1080p ( G) Monitor LED BenQ 21.5" Full HD 1080p</t>
  </si>
  <si>
    <t>1310-004-012</t>
  </si>
  <si>
    <t>Monitor LED BenQ 21.5" Full HD 1080p ( G</t>
  </si>
  <si>
    <t>156.01.08</t>
  </si>
  <si>
    <t>(1310-004-011 MPB 14 CHIP MS PRO 5) MacBook Pro 14 CHIP M2 PRO 5</t>
  </si>
  <si>
    <t>1310-004-011</t>
  </si>
  <si>
    <t>MPB 14 CHIP MS PRO 5</t>
  </si>
  <si>
    <t>156.01.09</t>
  </si>
  <si>
    <t>(156-01-09 MULTIFUNCIONAL HP COL TANK 720) Multifuncional HP Col Tank 720</t>
  </si>
  <si>
    <t>156.01.10</t>
  </si>
  <si>
    <t>(1310-004-013 Tablet Better Homer) Tablet Samsung A7 Lite 8.7 3GB/32 GB WIFI SILVER</t>
  </si>
  <si>
    <t>1310-004-013</t>
  </si>
  <si>
    <t>Tablet Better Homer</t>
  </si>
  <si>
    <t>156.01.12</t>
  </si>
  <si>
    <t>(1310-004-007 LENOVO UNITED STATES 855-2536686 NC)LENOVO UNITED STATES 855-2536686 NC</t>
  </si>
  <si>
    <t>1310-004-007</t>
  </si>
  <si>
    <t>LENOVO UNITED STATES 855-2536686 NC</t>
  </si>
  <si>
    <t>156.01.13</t>
  </si>
  <si>
    <t>(1310-004-015) Monitor  LED  BenQ  21.5"  Full  HD  1080p</t>
  </si>
  <si>
    <t>1310-004-015</t>
  </si>
  <si>
    <t>Monitor led</t>
  </si>
  <si>
    <t>156.01.14</t>
  </si>
  <si>
    <t>(1310-004-014) HUAWEI  MateBook  D  15  Ryzen  7  5700U  16GB  +  512</t>
  </si>
  <si>
    <t>1310-004-014</t>
  </si>
  <si>
    <t>Computadora Hauhuey</t>
  </si>
  <si>
    <t>156.01.15</t>
  </si>
  <si>
    <t>(1310-004-017) ASUS Laptop Zenbook 14 OLED 2024)</t>
  </si>
  <si>
    <t>1310-004-017</t>
  </si>
  <si>
    <t>ASUS Laptop Zenbook 14 OLED 2024</t>
  </si>
  <si>
    <t>156.01.16</t>
  </si>
  <si>
    <t>(1310-004-010 MONITOR LED BENQ - JULIO 2023)</t>
  </si>
  <si>
    <t>1310-004-010</t>
  </si>
  <si>
    <t>MONITOR LED BENQ - JULIO 2023</t>
  </si>
  <si>
    <t>156.01.17</t>
  </si>
  <si>
    <t>(1310-004-016 Monitor LED BenQ 21.5" Enero 2024)</t>
  </si>
  <si>
    <t>1310-004-016</t>
  </si>
  <si>
    <t>Monitor LED BenQ 21.5" Enero 2024</t>
  </si>
  <si>
    <t>156.01.18</t>
  </si>
  <si>
    <t>(1310-004-019 Apple MacBook Pro y 1310-004-020 Apple MacBook Pro 2019 con Intel Core i7) Apple MacBook Pro Retina Enero 2025</t>
  </si>
  <si>
    <t>1310-004-019</t>
  </si>
  <si>
    <t>Apple MacBook Pro</t>
  </si>
  <si>
    <t>156.01.19</t>
  </si>
  <si>
    <t>(1310-004-018 SAMSUNG Galaxy S24 Ultra, Titanio Negro 12GB_512GB)</t>
  </si>
  <si>
    <t>1310-004-018</t>
  </si>
  <si>
    <t>SAMSUNG Galaxy S24 Ultra Titanio Negro 1</t>
  </si>
  <si>
    <t>156.01.20</t>
  </si>
  <si>
    <t>(1310-004-021 Zebra ZD421 Impresora de computado) Oct 25</t>
  </si>
  <si>
    <t>1310-004-021</t>
  </si>
  <si>
    <t>Zebra ZD421 Impresora de computadora ZD4</t>
  </si>
  <si>
    <t>156.01.21</t>
  </si>
  <si>
    <t>(1310-004-022 Laptop OmniBook Ultra 14 fd0001la *) Oct 25</t>
  </si>
  <si>
    <t>1310-004-022</t>
  </si>
  <si>
    <t>Laptop OmniBook Ultra 14 fd0001la *</t>
  </si>
  <si>
    <t>156.01.22</t>
  </si>
  <si>
    <t>(1310-004-023 Samsung Galaxy A16 6+128GB Negro)</t>
  </si>
  <si>
    <t>1310-004-023</t>
  </si>
  <si>
    <t>Smartphone Samsung Galaxy A16:Procesador</t>
  </si>
  <si>
    <t>160</t>
  </si>
  <si>
    <t>Otros activos fijos</t>
  </si>
  <si>
    <t>1310-007-000</t>
  </si>
  <si>
    <t>160.01</t>
  </si>
  <si>
    <t>160.01.01</t>
  </si>
  <si>
    <t>(1310-007-001 AOI 3D Eagle 8800 HL InLine Pemtron Tec)</t>
  </si>
  <si>
    <t>1310-007-001</t>
  </si>
  <si>
    <t>171</t>
  </si>
  <si>
    <t>Depreciación acumulada de activos fijos</t>
  </si>
  <si>
    <t>1360-000-000</t>
  </si>
  <si>
    <t>DEPRECIACION</t>
  </si>
  <si>
    <t>171.02</t>
  </si>
  <si>
    <t>Depreciación acumulada de maquinaria y equipo</t>
  </si>
  <si>
    <t>171.02.01</t>
  </si>
  <si>
    <t>(1360.006.000 Depreciación de Equipo de Trabajo)</t>
  </si>
  <si>
    <t>1360-006-000</t>
  </si>
  <si>
    <t>DEPRECIACION EQUIPO DE TRABAJO</t>
  </si>
  <si>
    <t>171.03</t>
  </si>
  <si>
    <t>Depreciación acumulada de automóviles, autobuses y camiones</t>
  </si>
  <si>
    <t>1360-002-000</t>
  </si>
  <si>
    <t>DEPRECIACION EQUIPO DE TRANSPORTE</t>
  </si>
  <si>
    <t>171.03.01</t>
  </si>
  <si>
    <t>(1360-002-001 Toyota 2013 Highlander Nov-2019)</t>
  </si>
  <si>
    <t>1360-002-001</t>
  </si>
  <si>
    <t>171.03.02</t>
  </si>
  <si>
    <t>(1360-002-002 2015 Chevrolet Spark Oct-2024)</t>
  </si>
  <si>
    <t>1360-002-002</t>
  </si>
  <si>
    <t>Chevrolet SPARK</t>
  </si>
  <si>
    <t>171.04</t>
  </si>
  <si>
    <t>Depreciación acumulada de mobiliario y equipo de oficina</t>
  </si>
  <si>
    <t>171.04.00</t>
  </si>
  <si>
    <t>(1360.004.000 Depreciación de Equipo de Oficina)</t>
  </si>
  <si>
    <t>1360-004-000</t>
  </si>
  <si>
    <t>DEPRECIACION DE EQUIPO DE OFICINA</t>
  </si>
  <si>
    <t>171.04.01</t>
  </si>
  <si>
    <t>(1360-004-001 Escritorio Ejecutivo Stark nov-2018)</t>
  </si>
  <si>
    <t>1360-004-001</t>
  </si>
  <si>
    <t>171.04.02</t>
  </si>
  <si>
    <t>(1360-004-002 Retorno ejecutivo Klass Nov-2018)</t>
  </si>
  <si>
    <t>1360-004-002</t>
  </si>
  <si>
    <t>171.04.03</t>
  </si>
  <si>
    <t>(1360-004-003 Credenza Ejecutiva Klass Ceniza Nov-2018)</t>
  </si>
  <si>
    <t>1360-004-003</t>
  </si>
  <si>
    <t>171.04.04</t>
  </si>
  <si>
    <t>(1360-004-004 Archivero Móvil Nov-2018)</t>
  </si>
  <si>
    <t>1360-004-004</t>
  </si>
  <si>
    <t>171.04.05</t>
  </si>
  <si>
    <t>(1360-004-005 Sillón Ergonómico Nov-2018)</t>
  </si>
  <si>
    <t>1360-004-005</t>
  </si>
  <si>
    <t>171.04.06</t>
  </si>
  <si>
    <t>(1360-004-006 Librero de piso Nov-2018)</t>
  </si>
  <si>
    <t>1360-004-006</t>
  </si>
  <si>
    <t>171.04.07</t>
  </si>
  <si>
    <t>(1360-004-007 Silla c brazo Myra Ratn pvc beige may-20)</t>
  </si>
  <si>
    <t>1360-004-007</t>
  </si>
  <si>
    <t>171.04.08</t>
  </si>
  <si>
    <t>(1360-004-008 Mesa rectangular Myra madera beige May-)</t>
  </si>
  <si>
    <t>1360-004-008</t>
  </si>
  <si>
    <t>171.04.09</t>
  </si>
  <si>
    <t>(1360-004-009 Mobiliario y equipo de oficina sep-19)</t>
  </si>
  <si>
    <t>1360-004-009</t>
  </si>
  <si>
    <t>171.04.10</t>
  </si>
  <si>
    <t>(1360-004-010 Refrigerador Arcos 7 P3)</t>
  </si>
  <si>
    <t>1360-004-010</t>
  </si>
  <si>
    <t>REFRIGERADOR ACROS 7 P3</t>
  </si>
  <si>
    <t>171.04.11</t>
  </si>
  <si>
    <t>(1360-004-011 Silla y Escritorio Walmart)</t>
  </si>
  <si>
    <t>1360-004-011</t>
  </si>
  <si>
    <t>SILLA Y ESCRITORIO WALMART</t>
  </si>
  <si>
    <t>171.04.12</t>
  </si>
  <si>
    <t>(1360-004-012 Telefono inalambrico 2 line)</t>
  </si>
  <si>
    <t>1360-004-012</t>
  </si>
  <si>
    <t>TELEFONO INALAMBRICO 2 LINE</t>
  </si>
  <si>
    <t>171.04.13</t>
  </si>
  <si>
    <t>(1360-004-013 Dispositivos de audio y de video)</t>
  </si>
  <si>
    <t>1360-004-013</t>
  </si>
  <si>
    <t>DISPOSITIVOS DE AUDIO Y VIDEO</t>
  </si>
  <si>
    <t>171.04.14</t>
  </si>
  <si>
    <t>(1360-004-014 silla ergonomica)</t>
  </si>
  <si>
    <t>1360-004-014</t>
  </si>
  <si>
    <t>171.04.15</t>
  </si>
  <si>
    <t>(1360-004-015 Escritorio Walmart)</t>
  </si>
  <si>
    <t>1360-004-015</t>
  </si>
  <si>
    <t>EscritorioWalmarty</t>
  </si>
  <si>
    <t>171.04.16</t>
  </si>
  <si>
    <t>(1360-004-016 Bancas Plegables)</t>
  </si>
  <si>
    <t>1360-004-016</t>
  </si>
  <si>
    <t>Bancas Plegables</t>
  </si>
  <si>
    <t>171.04.17</t>
  </si>
  <si>
    <t>(1360-004-017 Smart 4K Led Roku)</t>
  </si>
  <si>
    <t>1360-004-017</t>
  </si>
  <si>
    <t>Smart 4K Led Roku</t>
  </si>
  <si>
    <t>171.04.18</t>
  </si>
  <si>
    <t>(1360-004-018 Silla ergonomica Walmart)</t>
  </si>
  <si>
    <t>1360-004-018</t>
  </si>
  <si>
    <t>Silla Ergonomica Walmart</t>
  </si>
  <si>
    <t>171.04.19</t>
  </si>
  <si>
    <t>(1360-004-019 Escritorio Walmart)</t>
  </si>
  <si>
    <t>1360-004-019</t>
  </si>
  <si>
    <t>Escritorio Walmart</t>
  </si>
  <si>
    <t>171.04.20</t>
  </si>
  <si>
    <t>(1360-004-020 Silla ergonomica ejecutivo color negro Jun 2025)</t>
  </si>
  <si>
    <t>1360-004-020</t>
  </si>
  <si>
    <t>171.04.21</t>
  </si>
  <si>
    <t>(1360-004-021 Archivero dos cajones plata dic 2025)</t>
  </si>
  <si>
    <t>1360-004-021</t>
  </si>
  <si>
    <t>171.05</t>
  </si>
  <si>
    <t>Depreciación acumulada de equipo de cómputo</t>
  </si>
  <si>
    <t>171.05.00</t>
  </si>
  <si>
    <t>Depreciación de Equipo de Cómputo sin cuenta propia</t>
  </si>
  <si>
    <t>171.05.01</t>
  </si>
  <si>
    <t>(1360-003-001  Procesador BX .- Ago 2019)</t>
  </si>
  <si>
    <t>1360-003-001</t>
  </si>
  <si>
    <t>171.05.02</t>
  </si>
  <si>
    <t>(1360-003-002 HP 24)</t>
  </si>
  <si>
    <t>1360-003-002</t>
  </si>
  <si>
    <t>171.05.03</t>
  </si>
  <si>
    <t>(1360-003-003 Monitor Samsung Sep 2019)</t>
  </si>
  <si>
    <t>1360-003-003</t>
  </si>
  <si>
    <t>171.05.04</t>
  </si>
  <si>
    <t>(1360-003-004 Modem - Ene 20)</t>
  </si>
  <si>
    <t>1360-003-004</t>
  </si>
  <si>
    <t>171.05.05</t>
  </si>
  <si>
    <t>(1360-003-005 Impresora Epson - marzo 2020)</t>
  </si>
  <si>
    <t>1360-003-005</t>
  </si>
  <si>
    <t>171.05.06</t>
  </si>
  <si>
    <t>(1360-003-009 Monitor Led Benq)</t>
  </si>
  <si>
    <t>1360-003-009</t>
  </si>
  <si>
    <t>Monitir Lend Benq</t>
  </si>
  <si>
    <t>171.05.07</t>
  </si>
  <si>
    <t>(1360-003-010 MPB14MSPro5)</t>
  </si>
  <si>
    <t>1360-003-010</t>
  </si>
  <si>
    <t>MPB 14 MS Pro5</t>
  </si>
  <si>
    <t>171.05.08</t>
  </si>
  <si>
    <t>(1360-003-011 ASUS Laptop Zenbook 14 OLED 2024)</t>
  </si>
  <si>
    <t>1360-003-011</t>
  </si>
  <si>
    <t>171.05.09</t>
  </si>
  <si>
    <t>(1360-003-006 PROCESADOR INTER CORE Ene 2021)</t>
  </si>
  <si>
    <t>1360-003-006</t>
  </si>
  <si>
    <t>PROCESADOR INTER CORE</t>
  </si>
  <si>
    <t>171.05.10</t>
  </si>
  <si>
    <t>(1360-003-007 Lenovo United States 855-2536686 Ene 2021)</t>
  </si>
  <si>
    <t>1360-003-007</t>
  </si>
  <si>
    <t>Lenovo United States 855-2536686</t>
  </si>
  <si>
    <t>171.05.11</t>
  </si>
  <si>
    <t>(1360-003-008 Multifuncional HP Tank 720 Jul 2022)</t>
  </si>
  <si>
    <t>1360-003-008</t>
  </si>
  <si>
    <t>Multifuncional HP Tank 720</t>
  </si>
  <si>
    <t>171.05.12</t>
  </si>
  <si>
    <t>(1360-003-012 Monitor Led Benq Full HD 1080p Jun 2023)</t>
  </si>
  <si>
    <t>1360-003-012</t>
  </si>
  <si>
    <t>Monitor Led Benq Full HD 1080p</t>
  </si>
  <si>
    <t>171.05.13</t>
  </si>
  <si>
    <t>(1360-003-013 Tablett Better Home Jun 2023)</t>
  </si>
  <si>
    <t>1360-003-013</t>
  </si>
  <si>
    <t>Tablett Better Home</t>
  </si>
  <si>
    <t>171.05.14</t>
  </si>
  <si>
    <t>(1360-003-014 Computadora F. 47311482 Jun 2023)</t>
  </si>
  <si>
    <t>1360-003-014</t>
  </si>
  <si>
    <t>Computadora F. 47311482</t>
  </si>
  <si>
    <t>171.05.15</t>
  </si>
  <si>
    <t>(1360-003-015 Monitor Led Amazon Jun 2023)</t>
  </si>
  <si>
    <t>1360-003-015</t>
  </si>
  <si>
    <t>Monitor Led Amazon</t>
  </si>
  <si>
    <t>171.05.16</t>
  </si>
  <si>
    <t>(1360-003-016 Monitor Led Amazon (3) Jun 2023)</t>
  </si>
  <si>
    <t>1360-003-016</t>
  </si>
  <si>
    <t>Monitor Led Amazon (3)</t>
  </si>
  <si>
    <t>171.05.17</t>
  </si>
  <si>
    <t>(1360-003-017 IMPRESORA DE ETIQUETAS Jun 2022)</t>
  </si>
  <si>
    <t>1360-003-017</t>
  </si>
  <si>
    <t>171.05.18</t>
  </si>
  <si>
    <t>(1360-003-018 SAMSUNG Galaxy S24 Ultra Titanio Negro 1 Dic 2024)</t>
  </si>
  <si>
    <t>1360-003-018</t>
  </si>
  <si>
    <t>171.05.19</t>
  </si>
  <si>
    <t>(1360-003-019 Apple MacBook Pro Ene 2025)</t>
  </si>
  <si>
    <t>1360-003-019</t>
  </si>
  <si>
    <t>[SUMA ELISA] Apple MacBook Pro 2019 con Intel Core i7</t>
  </si>
  <si>
    <t>1360-003-020</t>
  </si>
  <si>
    <t>Apple MacBook Pro 2019 con Intel Core i7</t>
  </si>
  <si>
    <t>171.05.20</t>
  </si>
  <si>
    <t>(1360-003-020 Apple MacBook Pro 2019 con Intel Core i7 Abr 2025)</t>
  </si>
  <si>
    <t>171.05.21</t>
  </si>
  <si>
    <t>(1360-003-020 Apple MacBook Pro 2019 con Intel Core i7 Abr 2025) (copia)</t>
  </si>
  <si>
    <t>171.05.22</t>
  </si>
  <si>
    <t>(1360-003-022 Laptop OmniBook Ultra 14 fd0001la * Oct 2025)</t>
  </si>
  <si>
    <t>1360-003-022</t>
  </si>
  <si>
    <t>183</t>
  </si>
  <si>
    <t>Amortización acumulada de activos diferidos</t>
  </si>
  <si>
    <t>183.01</t>
  </si>
  <si>
    <t>Amortización acumulada de gastos diferidos</t>
  </si>
  <si>
    <t>[SUMA ELISA] CÓDIGO NO ENCONTRADO</t>
  </si>
  <si>
    <t>1460-001-000</t>
  </si>
  <si>
    <t>183.01.00</t>
  </si>
  <si>
    <t>(1460.001.000 Amortización de Equipo Arrendado)</t>
  </si>
  <si>
    <t>183.01.01</t>
  </si>
  <si>
    <t>(1460-001-000 Amortización Pemtron)</t>
  </si>
  <si>
    <t>201</t>
  </si>
  <si>
    <t>Proveedores</t>
  </si>
  <si>
    <t>2110-000-000</t>
  </si>
  <si>
    <t>PROVEEDORES</t>
  </si>
  <si>
    <t>201.01</t>
  </si>
  <si>
    <t>Proveedores nacionales</t>
  </si>
  <si>
    <t>2110-001-000</t>
  </si>
  <si>
    <t>PROVEEDOR NACIONALES</t>
  </si>
  <si>
    <t>201.01.00</t>
  </si>
  <si>
    <t>Proveedores nacionales sin cuenta propia</t>
  </si>
  <si>
    <t>201.01.01</t>
  </si>
  <si>
    <t>(2110-001-001 Villa Industrias)</t>
  </si>
  <si>
    <t>2110-001-001</t>
  </si>
  <si>
    <t>Villa Industrias S.A. de C.V.</t>
  </si>
  <si>
    <t>201.01.06</t>
  </si>
  <si>
    <t>(2110-001-006 Corporativo Zeg S.A. de C.V.)</t>
  </si>
  <si>
    <t>2110-001-006</t>
  </si>
  <si>
    <t>201.02</t>
  </si>
  <si>
    <t>Proveedores extranjeros</t>
  </si>
  <si>
    <t>201.02.00</t>
  </si>
  <si>
    <t>201.03</t>
  </si>
  <si>
    <t>Otras cuentas de proveedores</t>
  </si>
  <si>
    <t>201.03.01</t>
  </si>
  <si>
    <t>201.03.01 (2115-000-000 Garantias comerciales)</t>
  </si>
  <si>
    <t>2115-000-000</t>
  </si>
  <si>
    <t>GARANTIAS COMERCIALES</t>
  </si>
  <si>
    <t>205</t>
  </si>
  <si>
    <t>Acreedores diversos a corto plazo</t>
  </si>
  <si>
    <t>2120-000-000</t>
  </si>
  <si>
    <t>ACREEDORES DIVERSOS</t>
  </si>
  <si>
    <t>205.02</t>
  </si>
  <si>
    <t>Acreedores diversos a corto plazo nacional</t>
  </si>
  <si>
    <t>2120-001-000</t>
  </si>
  <si>
    <t>ACREEDOR #</t>
  </si>
  <si>
    <t>[SUMA ELISA] JOCHUM KATHRIN PETRA</t>
  </si>
  <si>
    <t>2120-001-002</t>
  </si>
  <si>
    <t>JOCHUM KATHRIN PETRA</t>
  </si>
  <si>
    <t>205.02.02</t>
  </si>
  <si>
    <t>(2120-001-002 Jochum Kathrin Petra)</t>
  </si>
  <si>
    <t>205.02.03</t>
  </si>
  <si>
    <t>(2120-001-003 Deremate.com)</t>
  </si>
  <si>
    <t>2120-001-003</t>
  </si>
  <si>
    <t>DEREMATE.COM</t>
  </si>
  <si>
    <t>205.02.04</t>
  </si>
  <si>
    <t>(2120-001-004 Amazon)</t>
  </si>
  <si>
    <t>2120-001-004</t>
  </si>
  <si>
    <t>205.02.05</t>
  </si>
  <si>
    <t>(2120-001-011 Mercado Libre)</t>
  </si>
  <si>
    <t>2120-001-011</t>
  </si>
  <si>
    <t>Mercado Libre</t>
  </si>
  <si>
    <t>205.02.06</t>
  </si>
  <si>
    <t>(2120-001-013 Servicios Nacionales)</t>
  </si>
  <si>
    <t>2120-001-013</t>
  </si>
  <si>
    <t>SERVICIOS NACIONALES</t>
  </si>
  <si>
    <t>205.02.07</t>
  </si>
  <si>
    <t>(2120-001-015 Toyar Trade S.A. de C.V.)</t>
  </si>
  <si>
    <t>2120-001-015</t>
  </si>
  <si>
    <t>205.02.08</t>
  </si>
  <si>
    <t>(2120-001-017 Agustín Fuentes Anaya)</t>
  </si>
  <si>
    <t>2120-001-017</t>
  </si>
  <si>
    <t>AGUSTIN FUENTES ANAYA</t>
  </si>
  <si>
    <t>[SUMA ELISA] LUIS ALBERTO RIVERA</t>
  </si>
  <si>
    <t>2120-001-019</t>
  </si>
  <si>
    <t>LUIS ALBERTO RIVERA</t>
  </si>
  <si>
    <t>205.02.09</t>
  </si>
  <si>
    <t>(2120-001-019 Luis Alberto Rivera)</t>
  </si>
  <si>
    <t>205.02.10</t>
  </si>
  <si>
    <t>(2120-001-998 PTU por pagar)</t>
  </si>
  <si>
    <t>2120-001-998</t>
  </si>
  <si>
    <t>PTU POR PAGAR</t>
  </si>
  <si>
    <t>205.02.11</t>
  </si>
  <si>
    <t>(2120-001-999 Crédito Infonavit)</t>
  </si>
  <si>
    <t>2120-001-999</t>
  </si>
  <si>
    <t>CREDITO INFONAVIT</t>
  </si>
  <si>
    <t>205.02.18</t>
  </si>
  <si>
    <t>(2120-00-997 Crédito Fonacot)</t>
  </si>
  <si>
    <t>205.02.19</t>
  </si>
  <si>
    <t>205.02.20</t>
  </si>
  <si>
    <t>(2120.001.002 Jochum Kathrin Petra) Kathrin Jochum TC Scotiabank</t>
  </si>
  <si>
    <t>205.02.21</t>
  </si>
  <si>
    <t>(2120-001-052 Alexis Santiago Cuevas) Alexis Santiago TC Clara 4783</t>
  </si>
  <si>
    <t>2120-001-052</t>
  </si>
  <si>
    <t>ALEXIS SANTIAGO CUEVAS</t>
  </si>
  <si>
    <t>205.02.22</t>
  </si>
  <si>
    <t>(2120-001-019 Luis Alberto Rivera) Luis Rivera TC Stori</t>
  </si>
  <si>
    <t>205.02.23</t>
  </si>
  <si>
    <t>(2120-001-019 Luis Alberto Rivera) Luis Rivera TC Clara 0761</t>
  </si>
  <si>
    <t>205.02.26</t>
  </si>
  <si>
    <t>Michel Mata TC Clara</t>
  </si>
  <si>
    <t>205.02.27</t>
  </si>
  <si>
    <t>Omar Cardoza Pedraza TC Clara</t>
  </si>
  <si>
    <t>205.02.50</t>
  </si>
  <si>
    <t>(2120-001-050 MP Agregador)</t>
  </si>
  <si>
    <t>2120-001-050</t>
  </si>
  <si>
    <t>205.02.51</t>
  </si>
  <si>
    <t>BBVA, S.A.</t>
  </si>
  <si>
    <t>205.02.53</t>
  </si>
  <si>
    <t>DHL</t>
  </si>
  <si>
    <t>205.02.54</t>
  </si>
  <si>
    <t>NA02-Mile</t>
  </si>
  <si>
    <t>205.02.55</t>
  </si>
  <si>
    <t>Auto Líneas Regiomontana</t>
  </si>
  <si>
    <t>205.02.56</t>
  </si>
  <si>
    <t>Victoria Lopez Salinas Honorarios</t>
  </si>
  <si>
    <t>205.02.57</t>
  </si>
  <si>
    <t>Total Play</t>
  </si>
  <si>
    <t>205.02.59</t>
  </si>
  <si>
    <t>Radiomovil Dipsa</t>
  </si>
  <si>
    <t>205.02.60</t>
  </si>
  <si>
    <t>Envía Ya</t>
  </si>
  <si>
    <t>205.06</t>
  </si>
  <si>
    <t>Mercancías recibidas - no facturas</t>
  </si>
  <si>
    <t>205.06.01</t>
  </si>
  <si>
    <t>Mercancías Recibidas - No Facturas</t>
  </si>
  <si>
    <t>206</t>
  </si>
  <si>
    <t>Anticipo de cliente</t>
  </si>
  <si>
    <t>2190-000-000</t>
  </si>
  <si>
    <t>ANTICIPOS DE CLIENTES</t>
  </si>
  <si>
    <t>206.01</t>
  </si>
  <si>
    <t>Anticipo de cliente nacional</t>
  </si>
  <si>
    <t>206.01.01</t>
  </si>
  <si>
    <t>(2190-001-001) Anticipo de cliente nacional</t>
  </si>
  <si>
    <t>2190-001-000</t>
  </si>
  <si>
    <t>ANTICIPO CLIENTE NACIONAL</t>
  </si>
  <si>
    <t>206.01.02</t>
  </si>
  <si>
    <t>(2190-001-003 Printer)</t>
  </si>
  <si>
    <t>2190-001-003</t>
  </si>
  <si>
    <t>208</t>
  </si>
  <si>
    <t>Impuestos trasladados cobrados</t>
  </si>
  <si>
    <t>2180-000-000</t>
  </si>
  <si>
    <t>IMPUESTOS TRASLADADOS COBRADOS</t>
  </si>
  <si>
    <t>208.01</t>
  </si>
  <si>
    <t>IVA trasladado cobrado</t>
  </si>
  <si>
    <t>208.01.01</t>
  </si>
  <si>
    <t>(2180-001-000) IVA trasladado cobrado</t>
  </si>
  <si>
    <t>2180-001-000</t>
  </si>
  <si>
    <t>IVA COBRADO</t>
  </si>
  <si>
    <t>209</t>
  </si>
  <si>
    <t>Impuestos trasladados no cobrados</t>
  </si>
  <si>
    <t>2181-000-000</t>
  </si>
  <si>
    <t>IMPUESTOS TRASLADADOS POR COBRAR</t>
  </si>
  <si>
    <t>209.01</t>
  </si>
  <si>
    <t>IVA trasladado no cobrado</t>
  </si>
  <si>
    <t>209.01.01</t>
  </si>
  <si>
    <t>(2181-001-000) IVA trasladado no cobrado</t>
  </si>
  <si>
    <t>2181-001-000</t>
  </si>
  <si>
    <t>IVA POR COBRAR</t>
  </si>
  <si>
    <t>210</t>
  </si>
  <si>
    <t>Provisión de sueldos y salarios por pagar</t>
  </si>
  <si>
    <t>2160-000-000</t>
  </si>
  <si>
    <t>PROVISION DE NOMINA</t>
  </si>
  <si>
    <t>210.01</t>
  </si>
  <si>
    <t>210.01.01</t>
  </si>
  <si>
    <t>(2160-001-000 Provision de sueldos) Provisión de sueldos y salarios a pagar</t>
  </si>
  <si>
    <t>2160-001-000</t>
  </si>
  <si>
    <t>PROVISION DE SUELDOS</t>
  </si>
  <si>
    <t>210.03</t>
  </si>
  <si>
    <t>Suma 210.03</t>
  </si>
  <si>
    <t>210.03.01</t>
  </si>
  <si>
    <t>(2160.003.000 Provisión de Aguinaldos por Pagar)</t>
  </si>
  <si>
    <t>2160-003-000</t>
  </si>
  <si>
    <t>PROVISION DE AGUINALDOS POR PAGAR</t>
  </si>
  <si>
    <t>210.05</t>
  </si>
  <si>
    <t>Suma 210.05</t>
  </si>
  <si>
    <t>210.05.01</t>
  </si>
  <si>
    <t>(2160.004.000 Provisión de Asimilados a Salarios)</t>
  </si>
  <si>
    <t>2160-004-000</t>
  </si>
  <si>
    <t>PROVISION DE ASIMILADOS A SALARIOS</t>
  </si>
  <si>
    <t>210.07</t>
  </si>
  <si>
    <t>Provisión de otros sueldos y salarios por pagar</t>
  </si>
  <si>
    <t>210.07.01</t>
  </si>
  <si>
    <t>(2160.005.000 Provisión de Otros Conceptos de sueldos)</t>
  </si>
  <si>
    <t>2160-005-000</t>
  </si>
  <si>
    <t>211</t>
  </si>
  <si>
    <t>Provisión de contribuciones de seguridad social por pagar</t>
  </si>
  <si>
    <t>2170-000-000</t>
  </si>
  <si>
    <t>PROVISION DE CONTRIBUCIONES POR PAGAR</t>
  </si>
  <si>
    <t>211.01</t>
  </si>
  <si>
    <t>Provisión de IMSS patronal por pagar</t>
  </si>
  <si>
    <t>211.01.01</t>
  </si>
  <si>
    <t>(2170.001.000 Provisión de IMSS Patronal por pagar)</t>
  </si>
  <si>
    <t>2170-001-000</t>
  </si>
  <si>
    <t>PROVISION DE IMSS PATRONAL POR PAGAR</t>
  </si>
  <si>
    <t>211.02</t>
  </si>
  <si>
    <t>Provisión de SAR por pagar</t>
  </si>
  <si>
    <t>211.02.01</t>
  </si>
  <si>
    <t>(2170.002.000 Provisión de SAR por Pagar)</t>
  </si>
  <si>
    <t>2170-002-000</t>
  </si>
  <si>
    <t>PROVISION DE SAR POR PAGAR</t>
  </si>
  <si>
    <t>211.03</t>
  </si>
  <si>
    <t>Provisión de Infonavit por pagar</t>
  </si>
  <si>
    <t>211.03.01</t>
  </si>
  <si>
    <t>(2170.003.000 Provisión de Infonavit por Pagar)</t>
  </si>
  <si>
    <t>2170-003-000</t>
  </si>
  <si>
    <t>PROVISION DE INFONAVIT POR PAGAR</t>
  </si>
  <si>
    <t>213</t>
  </si>
  <si>
    <t>Impuestos y derechos por pagar</t>
  </si>
  <si>
    <t>2140-000-000</t>
  </si>
  <si>
    <t>IMPUESTOS Y DERECHOS POR PAGAR</t>
  </si>
  <si>
    <t>213.01</t>
  </si>
  <si>
    <t>IVA por pagar</t>
  </si>
  <si>
    <t>213.01.01</t>
  </si>
  <si>
    <t>(2140.001.000 IVA por pagar)</t>
  </si>
  <si>
    <t>2140-001-000</t>
  </si>
  <si>
    <t>IVA POR PAGAR</t>
  </si>
  <si>
    <t>213.03</t>
  </si>
  <si>
    <t>Suma 213.03</t>
  </si>
  <si>
    <t>213.03.01</t>
  </si>
  <si>
    <t>(2140.003.000 ISR por Pagar)</t>
  </si>
  <si>
    <t>2140-003-000</t>
  </si>
  <si>
    <t>213.04</t>
  </si>
  <si>
    <t>Impuesto estatal sobre nómina por pagar</t>
  </si>
  <si>
    <t>213.04.01</t>
  </si>
  <si>
    <t>(2140.004.000 Impuesto sobre Nóminas)</t>
  </si>
  <si>
    <t>2140-004-000</t>
  </si>
  <si>
    <t>IMPUESTO SOBRE NOMINAS</t>
  </si>
  <si>
    <t>216</t>
  </si>
  <si>
    <t>Impuestos retenidos</t>
  </si>
  <si>
    <t>2150-000-000</t>
  </si>
  <si>
    <t>IMPUESTOS Y CONTRIBUCIONES RETENIDOS</t>
  </si>
  <si>
    <t>216.01</t>
  </si>
  <si>
    <t>Retenciones ISR por sueldos y salarios</t>
  </si>
  <si>
    <t>216.01.01</t>
  </si>
  <si>
    <t>(2150-001-000 Retenciones ISR por sueldos y salarios) Retenciones o impuesto sobre la renta para sueldos y salarios</t>
  </si>
  <si>
    <t>2150-001-000</t>
  </si>
  <si>
    <t>RETENCIONES ISR POR SUELDOS Y SALARIOS</t>
  </si>
  <si>
    <t>216.02</t>
  </si>
  <si>
    <t>Retenciones ISR por asimilados a salarios</t>
  </si>
  <si>
    <t>216.02.01</t>
  </si>
  <si>
    <t>(2150.002.000 Retenciones ISR por Asimilados a Salario)</t>
  </si>
  <si>
    <t>2150-002-000</t>
  </si>
  <si>
    <t>RETENCIONES ISR POR ASIMILADOS A SALARIO</t>
  </si>
  <si>
    <t>216.02.02</t>
  </si>
  <si>
    <t>(2151.002.000 Retenciones ISR por Asimilados a Salario pagadas)</t>
  </si>
  <si>
    <t>2151-002-000</t>
  </si>
  <si>
    <t>216.03</t>
  </si>
  <si>
    <t>Retenciones ISR por arrendamiento</t>
  </si>
  <si>
    <t>216.03.01</t>
  </si>
  <si>
    <t>Impuestos retenidos de ISR por arrendamiento</t>
  </si>
  <si>
    <t>216.04</t>
  </si>
  <si>
    <t>Retenciones ISR por servicios profesionales</t>
  </si>
  <si>
    <t>216.04.01</t>
  </si>
  <si>
    <t>(2150-003-000 Retenciones ISR 10% Honorarios) Impuestos retenidos de ISR por servicios profesionales</t>
  </si>
  <si>
    <t>2150-003-000</t>
  </si>
  <si>
    <t>RETENCIONES ISR 10% HONORARIOS</t>
  </si>
  <si>
    <t>[SUMA ELISA] RETENCIONES ISR 1.25%</t>
  </si>
  <si>
    <t>2150-010-000</t>
  </si>
  <si>
    <t>RETENCIONES ISR 1.25%</t>
  </si>
  <si>
    <t>216.04.02</t>
  </si>
  <si>
    <t>(2150.010.000 Retenciones de ISR por servicios profesionales 1.25%) - RESICO 1.25%</t>
  </si>
  <si>
    <t>216.04.10</t>
  </si>
  <si>
    <t>Retenciones de ISR - pendiente por retener</t>
  </si>
  <si>
    <t>216.10</t>
  </si>
  <si>
    <t>Impuestos retenidos de IVA</t>
  </si>
  <si>
    <t>216.10.01</t>
  </si>
  <si>
    <t>Impuestos retenidos de IVA - pendiente por retener</t>
  </si>
  <si>
    <t>216.10.10</t>
  </si>
  <si>
    <t>216.10.11</t>
  </si>
  <si>
    <t>(2150.005.000 Retenciones IVA Personas Físicas) Honorarios</t>
  </si>
  <si>
    <t>2150-005-000</t>
  </si>
  <si>
    <t>RETENCIONES IVA PERSONAS FISICAS</t>
  </si>
  <si>
    <t>216.10.12</t>
  </si>
  <si>
    <t>(2150.006.000 Retenciones IVA Autotransportistas)</t>
  </si>
  <si>
    <t>2150-006-000</t>
  </si>
  <si>
    <t>RETENCIONES IVA AUTOTRANSPORTISTAS</t>
  </si>
  <si>
    <t>216.10.14</t>
  </si>
  <si>
    <t>(2150.009.000 Retenciones 20% Intereses)</t>
  </si>
  <si>
    <t>2150-009-000</t>
  </si>
  <si>
    <t>RETENCIONES 20% INTERESES</t>
  </si>
  <si>
    <t>216.10.15</t>
  </si>
  <si>
    <t>(2150-010-000 RETENCIONES ISR 1.25%)</t>
  </si>
  <si>
    <t>216.10.20</t>
  </si>
  <si>
    <t>Impuestos retenidos de iva efectivamente pagados</t>
  </si>
  <si>
    <t>216.10.23</t>
  </si>
  <si>
    <t>(2151.009.000 Retenciones 20% Intereses pagadas)</t>
  </si>
  <si>
    <t>2151-009-000</t>
  </si>
  <si>
    <t>216.11</t>
  </si>
  <si>
    <t>Retenciones de IMSS a los trabajadores</t>
  </si>
  <si>
    <t>216.11.01</t>
  </si>
  <si>
    <t>(2150-007-000 Retenciones IMSS trabajadores) Retención de impuestos del IMSS</t>
  </si>
  <si>
    <t>2150-007-000</t>
  </si>
  <si>
    <t>RETENCIONES IMSS TRABAJADORES</t>
  </si>
  <si>
    <t>251</t>
  </si>
  <si>
    <t>Acreedores diversos a largo plazo</t>
  </si>
  <si>
    <t>2130-000-000</t>
  </si>
  <si>
    <t>DOCUMENTOS POR PAGAR</t>
  </si>
  <si>
    <t>251.02</t>
  </si>
  <si>
    <t>Acreedores diversos a largo plazo nacional</t>
  </si>
  <si>
    <t>251.02.01</t>
  </si>
  <si>
    <t>(2130.001.001 Villa Industrias)</t>
  </si>
  <si>
    <t>2130-001-001</t>
  </si>
  <si>
    <t>251.02.02</t>
  </si>
  <si>
    <t>(2130.001.002 Jochum Kathrin Petra)</t>
  </si>
  <si>
    <t>2130-001-002</t>
  </si>
  <si>
    <t>251.02.03</t>
  </si>
  <si>
    <t>(2130.001.003 Samuel Edmundo Villa)</t>
  </si>
  <si>
    <t>2130-001-003</t>
  </si>
  <si>
    <t>SAMUEL EDMUNDO VILLA</t>
  </si>
  <si>
    <t>251.02.04</t>
  </si>
  <si>
    <t>(2130-001-004  Crédito BBVA)</t>
  </si>
  <si>
    <t>2130-001-004</t>
  </si>
  <si>
    <t>CREDITO BBVA</t>
  </si>
  <si>
    <t>251.03</t>
  </si>
  <si>
    <t>Acreedores diversos a largo plazo extranjero</t>
  </si>
  <si>
    <t>251.03.01</t>
  </si>
  <si>
    <t>(2130.002.001 Pemtron Technology Corp Arrendamiento)</t>
  </si>
  <si>
    <t>2130-002-001</t>
  </si>
  <si>
    <t>PEMTROM TECHNOLOGY COPR ARRENDAMIENTO</t>
  </si>
  <si>
    <t>251.03.02</t>
  </si>
  <si>
    <t>(2130.002.002 Cuenta Complemento Pemtron)</t>
  </si>
  <si>
    <t>2130-002-002</t>
  </si>
  <si>
    <t>CUENTA COMPLEMENTO PEMTROM</t>
  </si>
  <si>
    <t>301</t>
  </si>
  <si>
    <t>Capital social</t>
  </si>
  <si>
    <t>301.01</t>
  </si>
  <si>
    <t>Capital fijo</t>
  </si>
  <si>
    <t>301.01.01</t>
  </si>
  <si>
    <t>(3100.001.000 Capital Social Fijo)</t>
  </si>
  <si>
    <t>3100-001-000</t>
  </si>
  <si>
    <t>CAPITAL SOCIAL FIJO</t>
  </si>
  <si>
    <t>301.02</t>
  </si>
  <si>
    <t>Capital variable</t>
  </si>
  <si>
    <t>301.02.01</t>
  </si>
  <si>
    <t>(3100.002.000 Capital Social Variable)</t>
  </si>
  <si>
    <t>3100-002-000</t>
  </si>
  <si>
    <t>CAPITAL SOCIAL VARIABLE</t>
  </si>
  <si>
    <t>304</t>
  </si>
  <si>
    <t>Resultado de ejercicios anteriores</t>
  </si>
  <si>
    <t>304.01</t>
  </si>
  <si>
    <t>Utilidad de ejercicios anteriores</t>
  </si>
  <si>
    <t>304.01.01</t>
  </si>
  <si>
    <t>305</t>
  </si>
  <si>
    <t>Resultado del ejercicio</t>
  </si>
  <si>
    <t>305.01</t>
  </si>
  <si>
    <t>Utilidad del ejercicio</t>
  </si>
  <si>
    <t>305.01.01</t>
  </si>
  <si>
    <t>Resutado Integral</t>
  </si>
  <si>
    <t>401</t>
  </si>
  <si>
    <t>Ingresos</t>
  </si>
  <si>
    <t>4100-000-000</t>
  </si>
  <si>
    <t>VENTAS</t>
  </si>
  <si>
    <t>401.01</t>
  </si>
  <si>
    <t>Ventas y/o servicios gravados a la tasa general</t>
  </si>
  <si>
    <t>401.01.01</t>
  </si>
  <si>
    <t>[SUMA ELISA] VENTAS AL 16%</t>
  </si>
  <si>
    <t>4100-001-000</t>
  </si>
  <si>
    <t>VENTAS AL 16%</t>
  </si>
  <si>
    <t>401.01.05</t>
  </si>
  <si>
    <t>(4100.001.000 Ventas de servicios de ensamble gravados al 16%)</t>
  </si>
  <si>
    <t>401.01.30</t>
  </si>
  <si>
    <t>(4100.001.03 Ventas de componentes al 16%)</t>
  </si>
  <si>
    <t>401.01.40</t>
  </si>
  <si>
    <t>(4100.001.000 Ventas de servicios eNT gravados al 16%</t>
  </si>
  <si>
    <t>401.04</t>
  </si>
  <si>
    <t>Ventas y/o servicios gravados al 0%</t>
  </si>
  <si>
    <t>401.04.01</t>
  </si>
  <si>
    <t>(4100.002.000 Ventas al 0%)</t>
  </si>
  <si>
    <t>4100-002-000</t>
  </si>
  <si>
    <t>VENTAS AL 0%</t>
  </si>
  <si>
    <t>501</t>
  </si>
  <si>
    <t>Costo de venta y/o servicio</t>
  </si>
  <si>
    <t>5000-000-000</t>
  </si>
  <si>
    <t>COSTO DE VENTAS</t>
  </si>
  <si>
    <t>501.01</t>
  </si>
  <si>
    <t>Costo de venta</t>
  </si>
  <si>
    <t>501.01.01</t>
  </si>
  <si>
    <t>501.01.02</t>
  </si>
  <si>
    <t>Temporal para ajustes para 107 mercancias enviadas no facturadas (a desechar al final)</t>
  </si>
  <si>
    <t>501.08</t>
  </si>
  <si>
    <t>Otros conceptos de costo</t>
  </si>
  <si>
    <t>5100-000-000</t>
  </si>
  <si>
    <t>OTROS COSTOS DE VENTAS</t>
  </si>
  <si>
    <t>501.08.04</t>
  </si>
  <si>
    <t>(5100-004-000) Gastos y Derechos de Importación</t>
  </si>
  <si>
    <t>5100-004-000</t>
  </si>
  <si>
    <t>GASTOS Y DERECHOS DE IMPORTACION</t>
  </si>
  <si>
    <t>501.08.05</t>
  </si>
  <si>
    <t>(5100-010-000) No deducibles impuestos aduanales</t>
  </si>
  <si>
    <t>5100-010-000</t>
  </si>
  <si>
    <t>Impuestos aduanales globales no deducibl</t>
  </si>
  <si>
    <t>501.08.07</t>
  </si>
  <si>
    <t>(5100-005-000) Otros gastos de importacion</t>
  </si>
  <si>
    <t>5100-005-000</t>
  </si>
  <si>
    <t>OTROS GASTOS IMPORTACION</t>
  </si>
  <si>
    <t>501.08.08</t>
  </si>
  <si>
    <t>(5200-002-000 Bolsas y Empaques ) Empaques y cajas</t>
  </si>
  <si>
    <t>5200-000-000</t>
  </si>
  <si>
    <t>COSTOS DE CHOCOLATES</t>
  </si>
  <si>
    <t>555</t>
  </si>
  <si>
    <t>Rubro 555</t>
  </si>
  <si>
    <t>555555</t>
  </si>
  <si>
    <t>Suma 555555</t>
  </si>
  <si>
    <t>Inventory Clearing</t>
  </si>
  <si>
    <t>601</t>
  </si>
  <si>
    <t>Gastos generales</t>
  </si>
  <si>
    <t>601.84</t>
  </si>
  <si>
    <t>Otros gastos generales</t>
  </si>
  <si>
    <t>(6100-084-000 Otros gastos generales )</t>
  </si>
  <si>
    <t>6100-084-000</t>
  </si>
  <si>
    <t>601.84.01</t>
  </si>
  <si>
    <t>602</t>
  </si>
  <si>
    <t>6100-000-000</t>
  </si>
  <si>
    <t>GASTOS DE VENTA</t>
  </si>
  <si>
    <t>602.34</t>
  </si>
  <si>
    <t>Honorarios a personas físicas residentes nacionales</t>
  </si>
  <si>
    <t>602.34.01</t>
  </si>
  <si>
    <t>(6200-029-000 Honorarios Personas Morales)</t>
  </si>
  <si>
    <t>6200-029-000</t>
  </si>
  <si>
    <t>HONORARIOS PERSONAS MORALES</t>
  </si>
  <si>
    <t>602.34.02</t>
  </si>
  <si>
    <t>(6100-031-000 Honorarios Personas Fisicas)</t>
  </si>
  <si>
    <t>6100-031-000</t>
  </si>
  <si>
    <t>HONORARIOS PERSONAS FISICAS</t>
  </si>
  <si>
    <t>602.61</t>
  </si>
  <si>
    <t>Propaganda y publicidad</t>
  </si>
  <si>
    <t>602.61.01</t>
  </si>
  <si>
    <t>(6200-049-000) Publicidad</t>
  </si>
  <si>
    <t>6200-049-000</t>
  </si>
  <si>
    <t>PUBLICIDAD</t>
  </si>
  <si>
    <t>602.72</t>
  </si>
  <si>
    <t>Fletes y acarreos</t>
  </si>
  <si>
    <t>602.72.01</t>
  </si>
  <si>
    <t>(6100-049-000 Fletes y Acarreos)</t>
  </si>
  <si>
    <t>6100-049-000</t>
  </si>
  <si>
    <t>FLETES Y ACARREOS</t>
  </si>
  <si>
    <t>602.84</t>
  </si>
  <si>
    <t>Otros gastos de venta</t>
  </si>
  <si>
    <t>602.84.01</t>
  </si>
  <si>
    <t>(6100.056.000 Otros Gastos de Venta)</t>
  </si>
  <si>
    <t>6100-056-000</t>
  </si>
  <si>
    <t>OTROS GASTOS DE VENTA</t>
  </si>
  <si>
    <t>602.84.01.01</t>
  </si>
  <si>
    <t>(6100-058-000 Utiles y Herramientas)</t>
  </si>
  <si>
    <t>6100-058-000</t>
  </si>
  <si>
    <t>UTILES Y HERRAMIENTAS</t>
  </si>
  <si>
    <t>602.84.57.01</t>
  </si>
  <si>
    <t>602.84.57.02</t>
  </si>
  <si>
    <t>Amazon</t>
  </si>
  <si>
    <t>603</t>
  </si>
  <si>
    <t>Gastos de administración</t>
  </si>
  <si>
    <t>6200-000-000</t>
  </si>
  <si>
    <t>GASTOS DE ADMINISTRACIÓN</t>
  </si>
  <si>
    <t>603.01</t>
  </si>
  <si>
    <t>Sueldos y salarios</t>
  </si>
  <si>
    <t>603.01.00</t>
  </si>
  <si>
    <t>(6200-001-000 Sueldos y Salarios)</t>
  </si>
  <si>
    <t>6200-001-000</t>
  </si>
  <si>
    <t>SUELDOS Y SALARIOS</t>
  </si>
  <si>
    <t>603.03</t>
  </si>
  <si>
    <t>Tiempos extras</t>
  </si>
  <si>
    <t>603.03.00</t>
  </si>
  <si>
    <t>(6200-003-000 Horas Extras)</t>
  </si>
  <si>
    <t>6200-003-000</t>
  </si>
  <si>
    <t>HORAS EXTRAS</t>
  </si>
  <si>
    <t>603.06</t>
  </si>
  <si>
    <t>Vacaciones</t>
  </si>
  <si>
    <t>603.06.00</t>
  </si>
  <si>
    <t>(6200-006-000 Vacaciones)</t>
  </si>
  <si>
    <t>6200-006-000</t>
  </si>
  <si>
    <t>VACACIONES</t>
  </si>
  <si>
    <t>603.07</t>
  </si>
  <si>
    <t>Prima vacacional</t>
  </si>
  <si>
    <t>603.07.00</t>
  </si>
  <si>
    <t>(6200-007-000 Prima Vacacional)</t>
  </si>
  <si>
    <t>6200-007-000</t>
  </si>
  <si>
    <t>PRIMA VACACIONAL</t>
  </si>
  <si>
    <t>603.12</t>
  </si>
  <si>
    <t>Aguinaldo</t>
  </si>
  <si>
    <t>603.12.00</t>
  </si>
  <si>
    <t>(6200-005-000 Aguinaldo)</t>
  </si>
  <si>
    <t>6200-005-000</t>
  </si>
  <si>
    <t>AGUINALDO</t>
  </si>
  <si>
    <t>603.15</t>
  </si>
  <si>
    <t>Despensa</t>
  </si>
  <si>
    <t>603.15.00</t>
  </si>
  <si>
    <t>(6200-013-000 Vales de Despensa)</t>
  </si>
  <si>
    <t>6200-013-000</t>
  </si>
  <si>
    <t>VALES DE DESPENSA</t>
  </si>
  <si>
    <t>603.16</t>
  </si>
  <si>
    <t>Transporte</t>
  </si>
  <si>
    <t>603.16.00</t>
  </si>
  <si>
    <t>(6200-044-000 Pasajes transportes Locales)</t>
  </si>
  <si>
    <t>6200-044-000</t>
  </si>
  <si>
    <t>PASAJES Y TRANSPORTES LOCALES</t>
  </si>
  <si>
    <t>603.22</t>
  </si>
  <si>
    <t>Estímulo al personal</t>
  </si>
  <si>
    <t>603.22.00</t>
  </si>
  <si>
    <t>(6200-004-000 Bonos)</t>
  </si>
  <si>
    <t>6200-004-000</t>
  </si>
  <si>
    <t>BONOS</t>
  </si>
  <si>
    <t>603.25</t>
  </si>
  <si>
    <t>Otras prestaciones al personal</t>
  </si>
  <si>
    <t>603.25.01</t>
  </si>
  <si>
    <t>(6200-046-000 Alimentación)</t>
  </si>
  <si>
    <t>6200-046-000</t>
  </si>
  <si>
    <t>ALIMENTACION</t>
  </si>
  <si>
    <t>603.25.02</t>
  </si>
  <si>
    <t>(62000-051-000 Comidas con el personal)</t>
  </si>
  <si>
    <t>2000-051-000</t>
  </si>
  <si>
    <t>603.26</t>
  </si>
  <si>
    <t>Cuotas al IMSS</t>
  </si>
  <si>
    <t>603.26.00</t>
  </si>
  <si>
    <t>(6200-016-000 Cuota I.M.S.S.)</t>
  </si>
  <si>
    <t>6200-016-000</t>
  </si>
  <si>
    <t>CUOTA I.M.S.S.</t>
  </si>
  <si>
    <t>603.27</t>
  </si>
  <si>
    <t>Aportaciones al Infonavit</t>
  </si>
  <si>
    <t>603.27.00</t>
  </si>
  <si>
    <t>(6200-018-000 Aportaciones al Infonavit)</t>
  </si>
  <si>
    <t>6200-018-000</t>
  </si>
  <si>
    <t>APORTACIONES AL INFONAVIT</t>
  </si>
  <si>
    <t>603.28</t>
  </si>
  <si>
    <t>Aportaciones al SAR</t>
  </si>
  <si>
    <t>603.28.00</t>
  </si>
  <si>
    <t>(6200-017-000 Aportaciones al SAR)</t>
  </si>
  <si>
    <t>6200-017-000</t>
  </si>
  <si>
    <t>APORTACIONES AL SAR</t>
  </si>
  <si>
    <t>603.29</t>
  </si>
  <si>
    <t>Impuesto estatal sobre nóminas</t>
  </si>
  <si>
    <t>603.29.00</t>
  </si>
  <si>
    <t>(6200-019-000 Impuesto sobre Nómina)</t>
  </si>
  <si>
    <t>6200-019-000</t>
  </si>
  <si>
    <t>IMPUESTO SOBRE NOMINA</t>
  </si>
  <si>
    <t>603.31</t>
  </si>
  <si>
    <t>Asimilados a salarios</t>
  </si>
  <si>
    <t>603.31.00</t>
  </si>
  <si>
    <t>(6200-002-000) Honorarios asimilados a salarios</t>
  </si>
  <si>
    <t>6200-002-000</t>
  </si>
  <si>
    <t>ASIMILADOS A SALARIOS</t>
  </si>
  <si>
    <t>603.34</t>
  </si>
  <si>
    <t>603.34.00</t>
  </si>
  <si>
    <t>(6200-030-000 Honorarios personas Físicas)</t>
  </si>
  <si>
    <t>6200-030-000</t>
  </si>
  <si>
    <t>603.48</t>
  </si>
  <si>
    <t>Combustibles y lubricantes</t>
  </si>
  <si>
    <t>603.48.00</t>
  </si>
  <si>
    <t>(6200-042-000 Combustibles y Lubricantes)</t>
  </si>
  <si>
    <t>6200-042-000</t>
  </si>
  <si>
    <t>COMBUSTIBLES Y LUBRICANTES</t>
  </si>
  <si>
    <t>603.49</t>
  </si>
  <si>
    <t>Viáticos y gastos de viaje</t>
  </si>
  <si>
    <t>603.49.01</t>
  </si>
  <si>
    <t>(6200-056-000 Gastos de Viaje)</t>
  </si>
  <si>
    <t>6200-056-000</t>
  </si>
  <si>
    <t>GASTOS DE VIAJE</t>
  </si>
  <si>
    <t>603.49.02</t>
  </si>
  <si>
    <t>(6200-047-000 Otros gastos de Viaje)</t>
  </si>
  <si>
    <t>6200-047-000</t>
  </si>
  <si>
    <t>OTROS GASTOS DE VIAJE</t>
  </si>
  <si>
    <t>603.50</t>
  </si>
  <si>
    <t>Teléfono, internet</t>
  </si>
  <si>
    <t>603.50.01</t>
  </si>
  <si>
    <t>(6200-038-000 Telefonos)</t>
  </si>
  <si>
    <t>6200-038-000</t>
  </si>
  <si>
    <t>TELEFONOS</t>
  </si>
  <si>
    <t>603.50.02</t>
  </si>
  <si>
    <t>(6200-039-000 Internet servicios de dominios)</t>
  </si>
  <si>
    <t>6200-039-000</t>
  </si>
  <si>
    <t>INTERNET SERVICIOS DE DOMINIO</t>
  </si>
  <si>
    <t>603.54</t>
  </si>
  <si>
    <t>Limpieza</t>
  </si>
  <si>
    <t>[SUMA ELISA] DESPENSA Y ART. ASEO PARA OFNA</t>
  </si>
  <si>
    <t>6200-020-000</t>
  </si>
  <si>
    <t>DESPENSA Y ART. ASEO PARA OFNA</t>
  </si>
  <si>
    <t>603.54.01</t>
  </si>
  <si>
    <t>(6200-020-000 Despensa y art. Aseo para ofna)</t>
  </si>
  <si>
    <t>603.54.03</t>
  </si>
  <si>
    <t>(6200-020-000 Despensa y art. Aseo para ofna "Exento")</t>
  </si>
  <si>
    <t>603.55</t>
  </si>
  <si>
    <t>Papelería y artículos de oficina</t>
  </si>
  <si>
    <t>603.55.00</t>
  </si>
  <si>
    <t>(6200-028-000 Papeleria y Artículos para Oficina)</t>
  </si>
  <si>
    <t>6200-028-000</t>
  </si>
  <si>
    <t>PAPELERIA Y ARTICULOS PARA OFICINA</t>
  </si>
  <si>
    <t>603.56</t>
  </si>
  <si>
    <t>Mantenimiento y conservación</t>
  </si>
  <si>
    <t>603.56.02</t>
  </si>
  <si>
    <t>(6200-024-000 Mantto de Oficinas)</t>
  </si>
  <si>
    <t>6200-024-000</t>
  </si>
  <si>
    <t>MANTTO. DE OFICINAS</t>
  </si>
  <si>
    <t>603.56.04</t>
  </si>
  <si>
    <t>(6200-059-000) Herramientas</t>
  </si>
  <si>
    <t>6200-059-000</t>
  </si>
  <si>
    <t>HERRAMIENTAS</t>
  </si>
  <si>
    <t>603.58</t>
  </si>
  <si>
    <t>Otros impuestos y derechos</t>
  </si>
  <si>
    <t>603.58.00</t>
  </si>
  <si>
    <t>(6200-036-000 Otros Impuestos y Derechos)</t>
  </si>
  <si>
    <t>6200-036-000</t>
  </si>
  <si>
    <t>OTROS IMPUESTOS Y DERECHOS</t>
  </si>
  <si>
    <t>603.81</t>
  </si>
  <si>
    <t>Gastos no deducibles (sin requisitos fiscales)</t>
  </si>
  <si>
    <t>603.81.00</t>
  </si>
  <si>
    <t>(6200-054-000 No Deducibles)</t>
  </si>
  <si>
    <t>6200-054-000</t>
  </si>
  <si>
    <t>NO DEDUCIBLES</t>
  </si>
  <si>
    <t>[SUMA ELISA] OTROS GASTOS DE ADMINISTRACION</t>
  </si>
  <si>
    <t>6200-055-000</t>
  </si>
  <si>
    <t>OTROS GASTOS DE ADMINISTRACION</t>
  </si>
  <si>
    <t>603.82</t>
  </si>
  <si>
    <t>Otros gastos de administración</t>
  </si>
  <si>
    <t>603.82.00</t>
  </si>
  <si>
    <t>(6200-055-000 Otros Gastos de Administración)</t>
  </si>
  <si>
    <t>603.82.01</t>
  </si>
  <si>
    <t>(6200-31-000 Cuotas y suscripciones)</t>
  </si>
  <si>
    <t>603.82.03</t>
  </si>
  <si>
    <t>(6200-060-000 Gastos extranjeros) Gastos SVR internacional</t>
  </si>
  <si>
    <t>6200-060-000</t>
  </si>
  <si>
    <t>gastos extranjeros</t>
  </si>
  <si>
    <t>603.82.04</t>
  </si>
  <si>
    <t>(6200-045-000 Hospedaje)</t>
  </si>
  <si>
    <t>6200-045-000</t>
  </si>
  <si>
    <t>HOSPEDAJE</t>
  </si>
  <si>
    <t>701</t>
  </si>
  <si>
    <t>Gastos financieros</t>
  </si>
  <si>
    <t>7200-000-000</t>
  </si>
  <si>
    <t>GASTOS FINANCIEROS</t>
  </si>
  <si>
    <t>701.01</t>
  </si>
  <si>
    <t>Pérdida cambiaria</t>
  </si>
  <si>
    <t>701.01.01</t>
  </si>
  <si>
    <t>[SUMA ELISA] INTERESES POR PRESTAMO</t>
  </si>
  <si>
    <t>7200-005-000</t>
  </si>
  <si>
    <t>INTERESES POR PRESTAMO</t>
  </si>
  <si>
    <t>701.05</t>
  </si>
  <si>
    <t>Intereses a cargo bancario extranjero</t>
  </si>
  <si>
    <t>701.05.01</t>
  </si>
  <si>
    <t>(7200.005.000 Interés por préstamo) Intereses bancarios a cargo</t>
  </si>
  <si>
    <t>701.10</t>
  </si>
  <si>
    <t>Comisiones bancarias</t>
  </si>
  <si>
    <t>701.10.20</t>
  </si>
  <si>
    <t>(7200.004.000 Comisiones Bancarias)</t>
  </si>
  <si>
    <t>7200-004-000</t>
  </si>
  <si>
    <t>COMISIONES BANCARIAS</t>
  </si>
  <si>
    <t>702</t>
  </si>
  <si>
    <t>Productos financieros</t>
  </si>
  <si>
    <t>7100-000-000</t>
  </si>
  <si>
    <t>PRODUCTOS FINANCIEROS</t>
  </si>
  <si>
    <t>702.01</t>
  </si>
  <si>
    <t>Utilidad cambiaria</t>
  </si>
  <si>
    <t>702.01.01</t>
  </si>
  <si>
    <t>704</t>
  </si>
  <si>
    <t>Otros productos</t>
  </si>
  <si>
    <t>7300-000-000</t>
  </si>
  <si>
    <t>OTROS PRODUCTOS</t>
  </si>
  <si>
    <t>704.03</t>
  </si>
  <si>
    <t>Ganancia en venta y/o baja de maquinaria y equipo</t>
  </si>
  <si>
    <t>704.03.01</t>
  </si>
  <si>
    <t>(7300.002.000) Otros Productos)</t>
  </si>
  <si>
    <t>7300-002-000</t>
  </si>
  <si>
    <t>777</t>
  </si>
  <si>
    <t>Rubro 777</t>
  </si>
  <si>
    <t>777777</t>
  </si>
  <si>
    <t>Suma 777777</t>
  </si>
  <si>
    <t>AR Clearing</t>
  </si>
  <si>
    <t>888</t>
  </si>
  <si>
    <t>Rubro 888</t>
  </si>
  <si>
    <t>888888</t>
  </si>
  <si>
    <t>Suma 888888</t>
  </si>
  <si>
    <t>AP Clearing</t>
  </si>
  <si>
    <t>899</t>
  </si>
  <si>
    <t>Rubro 899</t>
  </si>
  <si>
    <t>899.01</t>
  </si>
  <si>
    <t>Suma 899.01</t>
  </si>
  <si>
    <t>899.01.99</t>
  </si>
  <si>
    <t>Base Imponible de Impuestos en Base a Flujo de Efectivo</t>
  </si>
</sst>
</file>

<file path=xl/styles.xml><?xml version="1.0" encoding="utf-8"?>
<styleSheet xmlns="http://schemas.openxmlformats.org/spreadsheetml/2006/main">
  <numFmts count="1">
    <numFmt numFmtId="164" formatCode="$ 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4" fontId="3" fillId="4" borderId="1" xfId="0" applyNumberFormat="1" applyFont="1" applyFill="1" applyBorder="1"/>
    <xf numFmtId="0" fontId="4" fillId="0" borderId="0" xfId="0" applyFont="1"/>
    <xf numFmtId="164" fontId="4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2"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45.7109375" customWidth="1"/>
    <col min="3" max="4" width="15.7109375" customWidth="1"/>
    <col min="5" max="5" width="45.7109375" customWidth="1"/>
    <col min="6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67062.25</v>
      </c>
      <c r="D2" s="2" t="s">
        <v>10</v>
      </c>
      <c r="E2" s="2" t="s">
        <v>11</v>
      </c>
      <c r="F2" s="3">
        <v>67112.25</v>
      </c>
      <c r="G2" s="4">
        <f>ABS(C2)-ABS(F2)</f>
        <v>0</v>
      </c>
      <c r="H2" s="2">
        <f>IF(ABS(G2)&lt;0.1,"OK","REVISAR")</f>
        <v>0</v>
      </c>
    </row>
    <row r="3" spans="1:8">
      <c r="A3" s="5" t="s">
        <v>12</v>
      </c>
      <c r="B3" s="5" t="s">
        <v>13</v>
      </c>
      <c r="C3" s="6">
        <v>67062.25</v>
      </c>
      <c r="D3" s="5"/>
      <c r="E3" s="5"/>
      <c r="F3" s="5"/>
      <c r="G3" s="5"/>
      <c r="H3" s="5"/>
    </row>
    <row r="4" spans="1:8">
      <c r="A4" s="2" t="s">
        <v>14</v>
      </c>
      <c r="B4" s="2" t="s">
        <v>15</v>
      </c>
      <c r="C4" s="3">
        <v>67062.25</v>
      </c>
      <c r="D4" s="2" t="s">
        <v>16</v>
      </c>
      <c r="E4" s="2" t="s">
        <v>17</v>
      </c>
      <c r="F4" s="3">
        <v>67112.25</v>
      </c>
      <c r="G4" s="4">
        <f>ABS(C4)-ABS(F4)</f>
        <v>0</v>
      </c>
      <c r="H4" s="2">
        <f>IF(ABS(G4)&lt;0.1,"OK","REVISAR")</f>
        <v>0</v>
      </c>
    </row>
    <row r="5" spans="1:8">
      <c r="A5" s="7" t="s">
        <v>18</v>
      </c>
      <c r="B5" s="7" t="s">
        <v>19</v>
      </c>
      <c r="C5" s="8">
        <v>4447.51</v>
      </c>
      <c r="D5" s="7" t="s">
        <v>16</v>
      </c>
      <c r="E5" s="7" t="s">
        <v>17</v>
      </c>
      <c r="F5" s="7"/>
      <c r="G5" s="7"/>
      <c r="H5" s="7"/>
    </row>
    <row r="6" spans="1:8">
      <c r="A6" s="5" t="s">
        <v>20</v>
      </c>
      <c r="B6" s="5" t="s">
        <v>21</v>
      </c>
      <c r="C6" s="6">
        <v>0</v>
      </c>
      <c r="D6" s="5"/>
      <c r="E6" s="5"/>
      <c r="F6" s="5"/>
      <c r="G6" s="5"/>
      <c r="H6" s="5"/>
    </row>
    <row r="7" spans="1:8">
      <c r="A7" s="5" t="s">
        <v>22</v>
      </c>
      <c r="B7" s="5" t="s">
        <v>23</v>
      </c>
      <c r="C7" s="6">
        <v>0</v>
      </c>
      <c r="D7" s="5"/>
      <c r="E7" s="5"/>
      <c r="F7" s="5"/>
      <c r="G7" s="5"/>
      <c r="H7" s="5"/>
    </row>
    <row r="8" spans="1:8">
      <c r="A8" s="7" t="s">
        <v>24</v>
      </c>
      <c r="B8" s="7" t="s">
        <v>25</v>
      </c>
      <c r="C8" s="8">
        <v>62614.74</v>
      </c>
      <c r="D8" s="7" t="s">
        <v>16</v>
      </c>
      <c r="E8" s="7" t="s">
        <v>17</v>
      </c>
      <c r="F8" s="7"/>
      <c r="G8" s="7"/>
      <c r="H8" s="7"/>
    </row>
    <row r="9" spans="1:8">
      <c r="A9" s="5" t="s">
        <v>26</v>
      </c>
      <c r="B9" s="5" t="s">
        <v>21</v>
      </c>
      <c r="C9" s="6">
        <v>0</v>
      </c>
      <c r="D9" s="5"/>
      <c r="E9" s="5"/>
      <c r="F9" s="5"/>
      <c r="G9" s="5"/>
      <c r="H9" s="5"/>
    </row>
    <row r="10" spans="1:8">
      <c r="A10" s="7" t="s">
        <v>27</v>
      </c>
      <c r="B10" s="7" t="s">
        <v>28</v>
      </c>
      <c r="C10" s="8">
        <v>0</v>
      </c>
      <c r="D10" s="7" t="s">
        <v>16</v>
      </c>
      <c r="E10" s="7" t="s">
        <v>17</v>
      </c>
      <c r="F10" s="7"/>
      <c r="G10" s="7"/>
      <c r="H10" s="7"/>
    </row>
    <row r="11" spans="1:8">
      <c r="A11" s="2" t="s">
        <v>29</v>
      </c>
      <c r="B11" s="2" t="s">
        <v>30</v>
      </c>
      <c r="C11" s="3">
        <v>447110.08</v>
      </c>
      <c r="D11" s="2" t="s">
        <v>31</v>
      </c>
      <c r="E11" s="2" t="s">
        <v>32</v>
      </c>
      <c r="F11" s="3">
        <v>447496.5444</v>
      </c>
      <c r="G11" s="4">
        <f>ABS(C11)-ABS(F11)</f>
        <v>0</v>
      </c>
      <c r="H11" s="2">
        <f>IF(ABS(G11)&lt;0.1,"OK","REVISAR")</f>
        <v>0</v>
      </c>
    </row>
    <row r="12" spans="1:8">
      <c r="A12" s="2" t="s">
        <v>33</v>
      </c>
      <c r="B12" s="2" t="s">
        <v>34</v>
      </c>
      <c r="C12" s="3">
        <v>331467.96</v>
      </c>
      <c r="D12" s="2" t="s">
        <v>35</v>
      </c>
      <c r="E12" s="2" t="s">
        <v>36</v>
      </c>
      <c r="F12" s="3">
        <v>331467.9632</v>
      </c>
      <c r="G12" s="4">
        <f>ABS(C12)-ABS(F12)</f>
        <v>0</v>
      </c>
      <c r="H12" s="2">
        <f>IF(ABS(G12)&lt;0.1,"OK","REVISAR")</f>
        <v>0</v>
      </c>
    </row>
    <row r="13" spans="1:8">
      <c r="A13" s="5" t="s">
        <v>37</v>
      </c>
      <c r="B13" s="5" t="s">
        <v>38</v>
      </c>
      <c r="C13" s="6">
        <v>0</v>
      </c>
      <c r="D13" s="5"/>
      <c r="E13" s="5"/>
      <c r="F13" s="5"/>
      <c r="G13" s="5"/>
      <c r="H13" s="5"/>
    </row>
    <row r="14" spans="1:8">
      <c r="A14" s="7" t="s">
        <v>39</v>
      </c>
      <c r="B14" s="7" t="s">
        <v>40</v>
      </c>
      <c r="C14" s="8">
        <v>331467.96</v>
      </c>
      <c r="D14" s="7" t="s">
        <v>41</v>
      </c>
      <c r="E14" s="7" t="s">
        <v>42</v>
      </c>
      <c r="F14" s="8">
        <v>331467.9632</v>
      </c>
      <c r="G14" s="4">
        <f>ABS(C14)-ABS(F14)</f>
        <v>0</v>
      </c>
      <c r="H14" s="7">
        <f>IF(ABS(G14)&lt;0.1,"OK","REVISAR")</f>
        <v>0</v>
      </c>
    </row>
    <row r="15" spans="1:8">
      <c r="A15" s="5" t="s">
        <v>43</v>
      </c>
      <c r="B15" s="5" t="s">
        <v>21</v>
      </c>
      <c r="C15" s="6">
        <v>0</v>
      </c>
      <c r="D15" s="5"/>
      <c r="E15" s="5"/>
      <c r="F15" s="5"/>
      <c r="G15" s="5"/>
      <c r="H15" s="5"/>
    </row>
    <row r="16" spans="1:8">
      <c r="A16" s="5" t="s">
        <v>44</v>
      </c>
      <c r="B16" s="5" t="s">
        <v>21</v>
      </c>
      <c r="C16" s="6">
        <v>0</v>
      </c>
      <c r="D16" s="5"/>
      <c r="E16" s="5"/>
      <c r="F16" s="5"/>
      <c r="G16" s="5"/>
      <c r="H16" s="5"/>
    </row>
    <row r="17" spans="1:8">
      <c r="A17" s="5" t="s">
        <v>45</v>
      </c>
      <c r="B17" s="5" t="s">
        <v>21</v>
      </c>
      <c r="C17" s="6">
        <v>0</v>
      </c>
      <c r="D17" s="5"/>
      <c r="E17" s="5"/>
      <c r="F17" s="5"/>
      <c r="G17" s="5"/>
      <c r="H17" s="5"/>
    </row>
    <row r="18" spans="1:8">
      <c r="A18" s="5" t="s">
        <v>46</v>
      </c>
      <c r="B18" s="5" t="s">
        <v>23</v>
      </c>
      <c r="C18" s="6">
        <v>0</v>
      </c>
      <c r="D18" s="5"/>
      <c r="E18" s="5"/>
      <c r="F18" s="5"/>
      <c r="G18" s="5"/>
      <c r="H18" s="5"/>
    </row>
    <row r="19" spans="1:8">
      <c r="A19" s="2" t="s">
        <v>47</v>
      </c>
      <c r="B19" s="2" t="s">
        <v>48</v>
      </c>
      <c r="C19" s="3">
        <v>115642.12</v>
      </c>
      <c r="D19" s="2" t="s">
        <v>49</v>
      </c>
      <c r="E19" s="2" t="s">
        <v>50</v>
      </c>
      <c r="F19" s="3">
        <v>116028.5812</v>
      </c>
      <c r="G19" s="4">
        <f>ABS(C19)-ABS(F19)</f>
        <v>0</v>
      </c>
      <c r="H19" s="2">
        <f>IF(ABS(G19)&lt;0.1,"OK","REVISAR")</f>
        <v>0</v>
      </c>
    </row>
    <row r="20" spans="1:8">
      <c r="A20" s="2" t="s">
        <v>51</v>
      </c>
      <c r="B20" s="2" t="s">
        <v>52</v>
      </c>
      <c r="C20" s="3">
        <v>6409.25</v>
      </c>
      <c r="D20" s="2" t="s">
        <v>53</v>
      </c>
      <c r="E20" s="2" t="s">
        <v>54</v>
      </c>
      <c r="F20" s="3">
        <v>6409.25</v>
      </c>
      <c r="G20" s="4">
        <f>ABS(C20)-ABS(F20)</f>
        <v>0</v>
      </c>
      <c r="H20" s="2">
        <f>IF(ABS(G20)&lt;0.1,"OK","REVISAR")</f>
        <v>0</v>
      </c>
    </row>
    <row r="21" spans="1:8">
      <c r="A21" s="2" t="s">
        <v>55</v>
      </c>
      <c r="B21" s="2" t="s">
        <v>56</v>
      </c>
      <c r="C21" s="3">
        <v>109232.87</v>
      </c>
      <c r="D21" s="2" t="s">
        <v>57</v>
      </c>
      <c r="E21" s="2" t="s">
        <v>58</v>
      </c>
      <c r="F21" s="3">
        <v>109619.3312</v>
      </c>
      <c r="G21" s="4">
        <f>ABS(C21)-ABS(F21)</f>
        <v>0</v>
      </c>
      <c r="H21" s="2">
        <f>IF(ABS(G21)&lt;0.1,"OK","REVISAR")</f>
        <v>0</v>
      </c>
    </row>
    <row r="22" spans="1:8">
      <c r="A22" s="2" t="s">
        <v>59</v>
      </c>
      <c r="B22" s="2" t="s">
        <v>60</v>
      </c>
      <c r="C22" s="3">
        <v>494183.28</v>
      </c>
      <c r="D22" s="2" t="s">
        <v>61</v>
      </c>
      <c r="E22" s="2" t="s">
        <v>62</v>
      </c>
      <c r="F22" s="3">
        <v>494183.28</v>
      </c>
      <c r="G22" s="4">
        <f>ABS(C22)-ABS(F22)</f>
        <v>0</v>
      </c>
      <c r="H22" s="2">
        <f>IF(ABS(G22)&lt;0.1,"OK","REVISAR")</f>
        <v>0</v>
      </c>
    </row>
    <row r="23" spans="1:8">
      <c r="A23" s="5" t="s">
        <v>63</v>
      </c>
      <c r="B23" s="5" t="s">
        <v>60</v>
      </c>
      <c r="C23" s="6">
        <v>494183.28</v>
      </c>
      <c r="D23" s="5"/>
      <c r="E23" s="5"/>
      <c r="F23" s="5"/>
      <c r="G23" s="5"/>
      <c r="H23" s="5"/>
    </row>
    <row r="24" spans="1:8">
      <c r="A24" s="7" t="s">
        <v>64</v>
      </c>
      <c r="B24" s="7" t="s">
        <v>65</v>
      </c>
      <c r="C24" s="8">
        <v>448567.11</v>
      </c>
      <c r="D24" s="7" t="s">
        <v>66</v>
      </c>
      <c r="E24" s="7" t="s">
        <v>67</v>
      </c>
      <c r="F24" s="8">
        <v>448567.11</v>
      </c>
      <c r="G24" s="4">
        <f>ABS(C24)-ABS(F24)</f>
        <v>0</v>
      </c>
      <c r="H24" s="7">
        <f>IF(ABS(G24)&lt;0.1,"OK","REVISAR")</f>
        <v>0</v>
      </c>
    </row>
    <row r="25" spans="1:8">
      <c r="A25" s="7" t="s">
        <v>68</v>
      </c>
      <c r="B25" s="7" t="s">
        <v>69</v>
      </c>
      <c r="C25" s="8">
        <v>45616.17</v>
      </c>
      <c r="D25" s="7" t="s">
        <v>70</v>
      </c>
      <c r="E25" s="7" t="s">
        <v>71</v>
      </c>
      <c r="F25" s="8">
        <v>45616.17</v>
      </c>
      <c r="G25" s="4">
        <f>ABS(C25)-ABS(F25)</f>
        <v>0</v>
      </c>
      <c r="H25" s="7">
        <f>IF(ABS(G25)&lt;0.1,"OK","REVISAR")</f>
        <v>0</v>
      </c>
    </row>
    <row r="26" spans="1:8">
      <c r="A26" s="2" t="s">
        <v>72</v>
      </c>
      <c r="B26" s="2" t="s">
        <v>73</v>
      </c>
      <c r="C26" s="3">
        <v>346691.48</v>
      </c>
      <c r="D26" s="2" t="s">
        <v>74</v>
      </c>
      <c r="E26" s="2" t="s">
        <v>75</v>
      </c>
      <c r="F26" s="3">
        <v>2892530.4634</v>
      </c>
      <c r="G26" s="4">
        <f>ABS(C26)-ABS(F26)</f>
        <v>0</v>
      </c>
      <c r="H26" s="2">
        <f>IF(ABS(G26)&lt;0.1,"OK","REVISAR")</f>
        <v>0</v>
      </c>
    </row>
    <row r="27" spans="1:8">
      <c r="A27" s="2" t="s">
        <v>76</v>
      </c>
      <c r="B27" s="2" t="s">
        <v>77</v>
      </c>
      <c r="C27" s="3">
        <v>148498.98</v>
      </c>
      <c r="D27" s="2" t="s">
        <v>78</v>
      </c>
      <c r="E27" s="2" t="s">
        <v>79</v>
      </c>
      <c r="F27" s="3">
        <v>154542.1659</v>
      </c>
      <c r="G27" s="4">
        <f>ABS(C27)-ABS(F27)</f>
        <v>0</v>
      </c>
      <c r="H27" s="2">
        <f>IF(ABS(G27)&lt;0.1,"OK","REVISAR")</f>
        <v>0</v>
      </c>
    </row>
    <row r="28" spans="1:8">
      <c r="A28" s="2" t="s">
        <v>80</v>
      </c>
      <c r="B28" s="2" t="s">
        <v>81</v>
      </c>
      <c r="C28" s="3">
        <v>23.54</v>
      </c>
      <c r="D28" s="2" t="s">
        <v>82</v>
      </c>
      <c r="E28" s="2" t="s">
        <v>83</v>
      </c>
      <c r="F28" s="3">
        <v>0</v>
      </c>
      <c r="G28" s="4">
        <f>ABS(C28)-ABS(F28)</f>
        <v>0</v>
      </c>
      <c r="H28" s="2">
        <f>IF(ABS(G28)&lt;0.1,"OK","REVISAR")</f>
        <v>0</v>
      </c>
    </row>
    <row r="29" spans="1:8">
      <c r="A29" s="7" t="s">
        <v>84</v>
      </c>
      <c r="B29" s="7" t="s">
        <v>85</v>
      </c>
      <c r="C29" s="8">
        <v>2997.03</v>
      </c>
      <c r="D29" s="7" t="s">
        <v>86</v>
      </c>
      <c r="E29" s="7" t="s">
        <v>87</v>
      </c>
      <c r="F29" s="8">
        <v>-20180</v>
      </c>
      <c r="G29" s="4">
        <f>ABS(C29)-ABS(F29)</f>
        <v>0</v>
      </c>
      <c r="H29" s="7">
        <f>IF(ABS(G29)&lt;0.1,"OK","REVISAR")</f>
        <v>0</v>
      </c>
    </row>
    <row r="30" spans="1:8">
      <c r="A30" s="7" t="s">
        <v>88</v>
      </c>
      <c r="B30" s="7" t="s">
        <v>89</v>
      </c>
      <c r="C30" s="8">
        <v>-11832</v>
      </c>
      <c r="D30" s="7" t="s">
        <v>90</v>
      </c>
      <c r="E30" s="7" t="s">
        <v>91</v>
      </c>
      <c r="F30" s="8">
        <v>-11832</v>
      </c>
      <c r="G30" s="4">
        <f>ABS(C30)-ABS(F30)</f>
        <v>0</v>
      </c>
      <c r="H30" s="7">
        <f>IF(ABS(G30)&lt;0.1,"OK","REVISAR")</f>
        <v>0</v>
      </c>
    </row>
    <row r="31" spans="1:8">
      <c r="A31" s="7" t="s">
        <v>92</v>
      </c>
      <c r="B31" s="7" t="s">
        <v>93</v>
      </c>
      <c r="C31" s="8">
        <v>0</v>
      </c>
      <c r="D31" s="7" t="s">
        <v>94</v>
      </c>
      <c r="E31" s="7" t="s">
        <v>95</v>
      </c>
      <c r="F31" s="8">
        <v>0</v>
      </c>
      <c r="G31" s="4">
        <f>ABS(C31)-ABS(F31)</f>
        <v>0</v>
      </c>
      <c r="H31" s="7">
        <f>IF(ABS(G31)&lt;0.1,"OK","REVISAR")</f>
        <v>0</v>
      </c>
    </row>
    <row r="32" spans="1:8">
      <c r="A32" s="7" t="s">
        <v>96</v>
      </c>
      <c r="B32" s="7" t="s">
        <v>97</v>
      </c>
      <c r="C32" s="8">
        <v>61055.86</v>
      </c>
      <c r="D32" s="7" t="s">
        <v>98</v>
      </c>
      <c r="E32" s="7" t="s">
        <v>99</v>
      </c>
      <c r="F32" s="8">
        <v>61055.8631</v>
      </c>
      <c r="G32" s="4">
        <f>ABS(C32)-ABS(F32)</f>
        <v>0</v>
      </c>
      <c r="H32" s="7">
        <f>IF(ABS(G32)&lt;0.1,"OK","REVISAR")</f>
        <v>0</v>
      </c>
    </row>
    <row r="33" spans="1:8">
      <c r="A33" s="7" t="s">
        <v>100</v>
      </c>
      <c r="B33" s="7" t="s">
        <v>101</v>
      </c>
      <c r="C33" s="8">
        <v>0</v>
      </c>
      <c r="D33" s="7" t="s">
        <v>102</v>
      </c>
      <c r="E33" s="7" t="s">
        <v>103</v>
      </c>
      <c r="F33" s="8">
        <v>0.002</v>
      </c>
      <c r="G33" s="4">
        <f>ABS(C33)-ABS(F33)</f>
        <v>0</v>
      </c>
      <c r="H33" s="7">
        <f>IF(ABS(G33)&lt;0.1,"OK","REVISAR")</f>
        <v>0</v>
      </c>
    </row>
    <row r="34" spans="1:8">
      <c r="A34" s="7" t="s">
        <v>104</v>
      </c>
      <c r="B34" s="7" t="s">
        <v>105</v>
      </c>
      <c r="C34" s="8">
        <v>0</v>
      </c>
      <c r="D34" s="7" t="s">
        <v>106</v>
      </c>
      <c r="E34" s="7" t="s">
        <v>107</v>
      </c>
      <c r="F34" s="8">
        <v>0.0035</v>
      </c>
      <c r="G34" s="4">
        <f>ABS(C34)-ABS(F34)</f>
        <v>0</v>
      </c>
      <c r="H34" s="7">
        <f>IF(ABS(G34)&lt;0.1,"OK","REVISAR")</f>
        <v>0</v>
      </c>
    </row>
    <row r="35" spans="1:8">
      <c r="A35" s="7" t="s">
        <v>108</v>
      </c>
      <c r="B35" s="7" t="s">
        <v>109</v>
      </c>
      <c r="C35" s="8">
        <v>0</v>
      </c>
      <c r="D35" s="7" t="s">
        <v>110</v>
      </c>
      <c r="E35" s="7" t="s">
        <v>95</v>
      </c>
      <c r="F35" s="8">
        <v>0</v>
      </c>
      <c r="G35" s="4">
        <f>ABS(C35)-ABS(F35)</f>
        <v>0</v>
      </c>
      <c r="H35" s="7">
        <f>IF(ABS(G35)&lt;0.1,"OK","REVISAR")</f>
        <v>0</v>
      </c>
    </row>
    <row r="36" spans="1:8">
      <c r="A36" s="7" t="s">
        <v>111</v>
      </c>
      <c r="B36" s="7" t="s">
        <v>112</v>
      </c>
      <c r="C36" s="8">
        <v>0</v>
      </c>
      <c r="D36" s="7" t="s">
        <v>113</v>
      </c>
      <c r="E36" s="7" t="s">
        <v>114</v>
      </c>
      <c r="F36" s="8">
        <v>0</v>
      </c>
      <c r="G36" s="4">
        <f>ABS(C36)-ABS(F36)</f>
        <v>0</v>
      </c>
      <c r="H36" s="7">
        <f>IF(ABS(G36)&lt;0.1,"OK","REVISAR")</f>
        <v>0</v>
      </c>
    </row>
    <row r="37" spans="1:8">
      <c r="A37" s="7" t="s">
        <v>115</v>
      </c>
      <c r="B37" s="7" t="s">
        <v>116</v>
      </c>
      <c r="C37" s="8">
        <v>0</v>
      </c>
      <c r="D37" s="7" t="s">
        <v>117</v>
      </c>
      <c r="E37" s="7" t="s">
        <v>95</v>
      </c>
      <c r="F37" s="8">
        <v>0</v>
      </c>
      <c r="G37" s="4">
        <f>ABS(C37)-ABS(F37)</f>
        <v>0</v>
      </c>
      <c r="H37" s="7">
        <f>IF(ABS(G37)&lt;0.1,"OK","REVISAR")</f>
        <v>0</v>
      </c>
    </row>
    <row r="38" spans="1:8">
      <c r="A38" s="7" t="s">
        <v>118</v>
      </c>
      <c r="B38" s="7" t="s">
        <v>119</v>
      </c>
      <c r="C38" s="8">
        <v>0</v>
      </c>
      <c r="D38" s="7" t="s">
        <v>120</v>
      </c>
      <c r="E38" s="7" t="s">
        <v>121</v>
      </c>
      <c r="F38" s="8">
        <v>-0.0019</v>
      </c>
      <c r="G38" s="4">
        <f>ABS(C38)-ABS(F38)</f>
        <v>0</v>
      </c>
      <c r="H38" s="7">
        <f>IF(ABS(G38)&lt;0.1,"OK","REVISAR")</f>
        <v>0</v>
      </c>
    </row>
    <row r="39" spans="1:8">
      <c r="A39" s="7" t="s">
        <v>122</v>
      </c>
      <c r="B39" s="7" t="s">
        <v>123</v>
      </c>
      <c r="C39" s="8">
        <v>38241.93</v>
      </c>
      <c r="D39" s="7" t="s">
        <v>124</v>
      </c>
      <c r="E39" s="7" t="s">
        <v>125</v>
      </c>
      <c r="F39" s="8">
        <v>38242</v>
      </c>
      <c r="G39" s="4">
        <f>ABS(C39)-ABS(F39)</f>
        <v>0</v>
      </c>
      <c r="H39" s="7">
        <f>IF(ABS(G39)&lt;0.1,"OK","REVISAR")</f>
        <v>0</v>
      </c>
    </row>
    <row r="40" spans="1:8">
      <c r="A40" s="7" t="s">
        <v>126</v>
      </c>
      <c r="B40" s="7" t="s">
        <v>127</v>
      </c>
      <c r="C40" s="8">
        <v>46400</v>
      </c>
      <c r="D40" s="7" t="s">
        <v>128</v>
      </c>
      <c r="E40" s="7" t="s">
        <v>129</v>
      </c>
      <c r="F40" s="8">
        <v>46400</v>
      </c>
      <c r="G40" s="4">
        <f>ABS(C40)-ABS(F40)</f>
        <v>0</v>
      </c>
      <c r="H40" s="7">
        <f>IF(ABS(G40)&lt;0.1,"OK","REVISAR")</f>
        <v>0</v>
      </c>
    </row>
    <row r="41" spans="1:8">
      <c r="A41" s="7" t="s">
        <v>130</v>
      </c>
      <c r="B41" s="7" t="s">
        <v>131</v>
      </c>
      <c r="C41" s="8">
        <v>0</v>
      </c>
      <c r="D41" s="7" t="s">
        <v>132</v>
      </c>
      <c r="E41" s="7" t="s">
        <v>133</v>
      </c>
      <c r="F41" s="8">
        <v>-0.0033</v>
      </c>
      <c r="G41" s="4">
        <f>ABS(C41)-ABS(F41)</f>
        <v>0</v>
      </c>
      <c r="H41" s="7">
        <f>IF(ABS(G41)&lt;0.1,"OK","REVISAR")</f>
        <v>0</v>
      </c>
    </row>
    <row r="42" spans="1:8">
      <c r="A42" s="7" t="s">
        <v>134</v>
      </c>
      <c r="B42" s="7" t="s">
        <v>135</v>
      </c>
      <c r="C42" s="8">
        <v>0</v>
      </c>
      <c r="D42" s="7" t="s">
        <v>136</v>
      </c>
      <c r="E42" s="7" t="s">
        <v>137</v>
      </c>
      <c r="F42" s="8">
        <v>0</v>
      </c>
      <c r="G42" s="4">
        <f>ABS(C42)-ABS(F42)</f>
        <v>0</v>
      </c>
      <c r="H42" s="7">
        <f>IF(ABS(G42)&lt;0.1,"OK","REVISAR")</f>
        <v>0</v>
      </c>
    </row>
    <row r="43" spans="1:8">
      <c r="A43" s="7" t="s">
        <v>138</v>
      </c>
      <c r="B43" s="7" t="s">
        <v>139</v>
      </c>
      <c r="C43" s="8">
        <v>11612.62</v>
      </c>
      <c r="D43" s="7" t="s">
        <v>140</v>
      </c>
      <c r="E43" s="7" t="s">
        <v>141</v>
      </c>
      <c r="F43" s="8">
        <v>43639.7759</v>
      </c>
      <c r="G43" s="4">
        <f>ABS(C43)-ABS(F43)</f>
        <v>0</v>
      </c>
      <c r="H43" s="7">
        <f>IF(ABS(G43)&lt;0.1,"OK","REVISAR")</f>
        <v>0</v>
      </c>
    </row>
    <row r="44" spans="1:8">
      <c r="A44" s="7" t="s">
        <v>142</v>
      </c>
      <c r="B44" s="7" t="s">
        <v>143</v>
      </c>
      <c r="C44" s="8">
        <v>0</v>
      </c>
      <c r="D44" s="7" t="s">
        <v>144</v>
      </c>
      <c r="E44" s="7" t="s">
        <v>145</v>
      </c>
      <c r="F44" s="8">
        <v>0</v>
      </c>
      <c r="G44" s="4">
        <f>ABS(C44)-ABS(F44)</f>
        <v>0</v>
      </c>
      <c r="H44" s="7">
        <f>IF(ABS(G44)&lt;0.1,"OK","REVISAR")</f>
        <v>0</v>
      </c>
    </row>
    <row r="45" spans="1:8">
      <c r="A45" s="7" t="s">
        <v>146</v>
      </c>
      <c r="B45" s="7" t="s">
        <v>147</v>
      </c>
      <c r="C45" s="8">
        <v>0</v>
      </c>
      <c r="D45" s="7" t="s">
        <v>148</v>
      </c>
      <c r="E45" s="7" t="s">
        <v>149</v>
      </c>
      <c r="F45" s="8">
        <v>0.0008</v>
      </c>
      <c r="G45" s="4">
        <f>ABS(C45)-ABS(F45)</f>
        <v>0</v>
      </c>
      <c r="H45" s="7">
        <f>IF(ABS(G45)&lt;0.1,"OK","REVISAR")</f>
        <v>0</v>
      </c>
    </row>
    <row r="46" spans="1:8">
      <c r="A46" s="7" t="s">
        <v>150</v>
      </c>
      <c r="B46" s="7" t="s">
        <v>151</v>
      </c>
      <c r="C46" s="8">
        <v>0</v>
      </c>
      <c r="D46" s="7" t="s">
        <v>152</v>
      </c>
      <c r="E46" s="7" t="s">
        <v>153</v>
      </c>
      <c r="F46" s="8">
        <v>0</v>
      </c>
      <c r="G46" s="4">
        <f>ABS(C46)-ABS(F46)</f>
        <v>0</v>
      </c>
      <c r="H46" s="7">
        <f>IF(ABS(G46)&lt;0.1,"OK","REVISAR")</f>
        <v>0</v>
      </c>
    </row>
    <row r="47" spans="1:8">
      <c r="A47" s="7" t="s">
        <v>154</v>
      </c>
      <c r="B47" s="7" t="s">
        <v>155</v>
      </c>
      <c r="C47" s="8">
        <v>0</v>
      </c>
      <c r="D47" s="7" t="s">
        <v>156</v>
      </c>
      <c r="E47" s="7" t="s">
        <v>95</v>
      </c>
      <c r="F47" s="8">
        <v>0</v>
      </c>
      <c r="G47" s="4">
        <f>ABS(C47)-ABS(F47)</f>
        <v>0</v>
      </c>
      <c r="H47" s="7">
        <f>IF(ABS(G47)&lt;0.1,"OK","REVISAR")</f>
        <v>0</v>
      </c>
    </row>
    <row r="48" spans="1:8">
      <c r="A48" s="7" t="s">
        <v>157</v>
      </c>
      <c r="B48" s="7" t="s">
        <v>158</v>
      </c>
      <c r="C48" s="8">
        <v>0</v>
      </c>
      <c r="D48" s="7" t="s">
        <v>159</v>
      </c>
      <c r="E48" s="7" t="s">
        <v>160</v>
      </c>
      <c r="F48" s="8">
        <v>-0.001</v>
      </c>
      <c r="G48" s="4">
        <f>ABS(C48)-ABS(F48)</f>
        <v>0</v>
      </c>
      <c r="H48" s="7">
        <f>IF(ABS(G48)&lt;0.1,"OK","REVISAR")</f>
        <v>0</v>
      </c>
    </row>
    <row r="49" spans="1:8">
      <c r="A49" s="7" t="s">
        <v>161</v>
      </c>
      <c r="B49" s="7" t="s">
        <v>162</v>
      </c>
      <c r="C49" s="8">
        <v>0</v>
      </c>
      <c r="D49" s="7" t="s">
        <v>163</v>
      </c>
      <c r="E49" s="7" t="s">
        <v>95</v>
      </c>
      <c r="F49" s="8">
        <v>0</v>
      </c>
      <c r="G49" s="4">
        <f>ABS(C49)-ABS(F49)</f>
        <v>0</v>
      </c>
      <c r="H49" s="7">
        <f>IF(ABS(G49)&lt;0.1,"OK","REVISAR")</f>
        <v>0</v>
      </c>
    </row>
    <row r="50" spans="1:8">
      <c r="A50" s="2" t="s">
        <v>164</v>
      </c>
      <c r="B50" s="2" t="s">
        <v>165</v>
      </c>
      <c r="C50" s="3">
        <v>198192.5</v>
      </c>
      <c r="D50" s="2" t="s">
        <v>166</v>
      </c>
      <c r="E50" s="2" t="s">
        <v>167</v>
      </c>
      <c r="F50" s="3">
        <v>2737988.2975</v>
      </c>
      <c r="G50" s="4">
        <f>ABS(C50)-ABS(F50)</f>
        <v>0</v>
      </c>
      <c r="H50" s="2">
        <f>IF(ABS(G50)&lt;0.1,"OK","REVISAR")</f>
        <v>0</v>
      </c>
    </row>
    <row r="51" spans="1:8">
      <c r="A51" s="5" t="s">
        <v>168</v>
      </c>
      <c r="B51" s="5" t="s">
        <v>169</v>
      </c>
      <c r="C51" s="6">
        <v>0</v>
      </c>
      <c r="D51" s="5"/>
      <c r="E51" s="5"/>
      <c r="F51" s="5"/>
      <c r="G51" s="5"/>
      <c r="H51" s="5"/>
    </row>
    <row r="52" spans="1:8">
      <c r="A52" s="7" t="s">
        <v>170</v>
      </c>
      <c r="B52" s="7" t="s">
        <v>171</v>
      </c>
      <c r="C52" s="8">
        <v>0</v>
      </c>
      <c r="D52" s="7" t="s">
        <v>172</v>
      </c>
      <c r="E52" s="7" t="s">
        <v>173</v>
      </c>
      <c r="F52" s="8">
        <v>2539795.79</v>
      </c>
      <c r="G52" s="4">
        <f>ABS(C52)-ABS(F52)</f>
        <v>0</v>
      </c>
      <c r="H52" s="7">
        <f>IF(ABS(G52)&lt;0.1,"OK","REVISAR")</f>
        <v>0</v>
      </c>
    </row>
    <row r="53" spans="1:8">
      <c r="A53" s="7" t="s">
        <v>174</v>
      </c>
      <c r="B53" s="7" t="s">
        <v>175</v>
      </c>
      <c r="C53" s="8">
        <v>0</v>
      </c>
      <c r="D53" s="7" t="s">
        <v>176</v>
      </c>
      <c r="E53" s="7" t="s">
        <v>177</v>
      </c>
      <c r="F53" s="8">
        <v>0.003</v>
      </c>
      <c r="G53" s="4">
        <f>ABS(C53)-ABS(F53)</f>
        <v>0</v>
      </c>
      <c r="H53" s="7">
        <f>IF(ABS(G53)&lt;0.1,"OK","REVISAR")</f>
        <v>0</v>
      </c>
    </row>
    <row r="54" spans="1:8">
      <c r="A54" s="7" t="s">
        <v>178</v>
      </c>
      <c r="B54" s="7" t="s">
        <v>179</v>
      </c>
      <c r="C54" s="8">
        <v>-2031.65</v>
      </c>
      <c r="D54" s="7" t="s">
        <v>180</v>
      </c>
      <c r="E54" s="7" t="s">
        <v>181</v>
      </c>
      <c r="F54" s="8">
        <v>-2031.6455</v>
      </c>
      <c r="G54" s="4">
        <f>ABS(C54)-ABS(F54)</f>
        <v>0</v>
      </c>
      <c r="H54" s="7">
        <f>IF(ABS(G54)&lt;0.1,"OK","REVISAR")</f>
        <v>0</v>
      </c>
    </row>
    <row r="55" spans="1:8">
      <c r="A55" s="7" t="s">
        <v>182</v>
      </c>
      <c r="B55" s="7" t="s">
        <v>183</v>
      </c>
      <c r="C55" s="8">
        <v>200224.15</v>
      </c>
      <c r="D55" s="7" t="s">
        <v>184</v>
      </c>
      <c r="E55" s="7" t="s">
        <v>185</v>
      </c>
      <c r="F55" s="8">
        <v>200224.15</v>
      </c>
      <c r="G55" s="4">
        <f>ABS(C55)-ABS(F55)</f>
        <v>0</v>
      </c>
      <c r="H55" s="7">
        <f>IF(ABS(G55)&lt;0.1,"OK","REVISAR")</f>
        <v>0</v>
      </c>
    </row>
    <row r="56" spans="1:8">
      <c r="A56" s="7" t="s">
        <v>186</v>
      </c>
      <c r="B56" s="7" t="s">
        <v>187</v>
      </c>
      <c r="C56" s="8">
        <v>0</v>
      </c>
      <c r="D56" s="7" t="s">
        <v>188</v>
      </c>
      <c r="E56" s="7" t="s">
        <v>95</v>
      </c>
      <c r="F56" s="8">
        <v>0</v>
      </c>
      <c r="G56" s="4">
        <f>ABS(C56)-ABS(F56)</f>
        <v>0</v>
      </c>
      <c r="H56" s="7">
        <f>IF(ABS(G56)&lt;0.1,"OK","REVISAR")</f>
        <v>0</v>
      </c>
    </row>
    <row r="57" spans="1:8">
      <c r="A57" s="2" t="s">
        <v>189</v>
      </c>
      <c r="B57" s="2" t="s">
        <v>190</v>
      </c>
      <c r="C57" s="3">
        <v>192437.9</v>
      </c>
      <c r="D57" s="2" t="s">
        <v>191</v>
      </c>
      <c r="E57" s="2" t="s">
        <v>192</v>
      </c>
      <c r="F57" s="3">
        <v>133053.1843</v>
      </c>
      <c r="G57" s="4">
        <f>ABS(C57)-ABS(F57)</f>
        <v>0</v>
      </c>
      <c r="H57" s="2">
        <f>IF(ABS(G57)&lt;0.1,"OK","REVISAR")</f>
        <v>0</v>
      </c>
    </row>
    <row r="58" spans="1:8">
      <c r="A58" s="5" t="s">
        <v>193</v>
      </c>
      <c r="B58" s="5" t="s">
        <v>194</v>
      </c>
      <c r="C58" s="6">
        <v>0</v>
      </c>
      <c r="D58" s="5"/>
      <c r="E58" s="5"/>
      <c r="F58" s="5"/>
      <c r="G58" s="5"/>
      <c r="H58" s="5"/>
    </row>
    <row r="59" spans="1:8">
      <c r="A59" s="7" t="s">
        <v>195</v>
      </c>
      <c r="B59" s="7" t="s">
        <v>196</v>
      </c>
      <c r="C59" s="8">
        <v>0</v>
      </c>
      <c r="D59" s="7" t="s">
        <v>197</v>
      </c>
      <c r="E59" s="7" t="s">
        <v>95</v>
      </c>
      <c r="F59" s="8">
        <v>0</v>
      </c>
      <c r="G59" s="4">
        <f>ABS(C59)-ABS(F59)</f>
        <v>0</v>
      </c>
      <c r="H59" s="7">
        <f>IF(ABS(G59)&lt;0.1,"OK","REVISAR")</f>
        <v>0</v>
      </c>
    </row>
    <row r="60" spans="1:8">
      <c r="A60" s="2" t="s">
        <v>198</v>
      </c>
      <c r="B60" s="2" t="s">
        <v>199</v>
      </c>
      <c r="C60" s="3">
        <v>0</v>
      </c>
      <c r="D60" s="2" t="s">
        <v>200</v>
      </c>
      <c r="E60" s="2" t="s">
        <v>201</v>
      </c>
      <c r="F60" s="3">
        <v>50000</v>
      </c>
      <c r="G60" s="4">
        <f>ABS(C60)-ABS(F60)</f>
        <v>0</v>
      </c>
      <c r="H60" s="2">
        <f>IF(ABS(G60)&lt;0.1,"OK","REVISAR")</f>
        <v>0</v>
      </c>
    </row>
    <row r="61" spans="1:8">
      <c r="A61" s="7" t="s">
        <v>202</v>
      </c>
      <c r="B61" s="7" t="s">
        <v>203</v>
      </c>
      <c r="C61" s="8">
        <v>0</v>
      </c>
      <c r="D61" s="7" t="s">
        <v>204</v>
      </c>
      <c r="E61" s="7" t="s">
        <v>95</v>
      </c>
      <c r="F61" s="8">
        <v>0</v>
      </c>
      <c r="G61" s="4">
        <f>ABS(C61)-ABS(F61)</f>
        <v>0</v>
      </c>
      <c r="H61" s="7">
        <f>IF(ABS(G61)&lt;0.1,"OK","REVISAR")</f>
        <v>0</v>
      </c>
    </row>
    <row r="62" spans="1:8">
      <c r="A62" s="7" t="s">
        <v>205</v>
      </c>
      <c r="B62" s="7" t="s">
        <v>206</v>
      </c>
      <c r="C62" s="8">
        <v>0</v>
      </c>
      <c r="D62" s="7" t="s">
        <v>207</v>
      </c>
      <c r="E62" s="7" t="s">
        <v>95</v>
      </c>
      <c r="F62" s="8">
        <v>0</v>
      </c>
      <c r="G62" s="4">
        <f>ABS(C62)-ABS(F62)</f>
        <v>0</v>
      </c>
      <c r="H62" s="7">
        <f>IF(ABS(G62)&lt;0.1,"OK","REVISAR")</f>
        <v>0</v>
      </c>
    </row>
    <row r="63" spans="1:8">
      <c r="A63" s="7" t="s">
        <v>208</v>
      </c>
      <c r="B63" s="7" t="s">
        <v>209</v>
      </c>
      <c r="C63" s="8">
        <v>0</v>
      </c>
      <c r="D63" s="7" t="s">
        <v>210</v>
      </c>
      <c r="E63" s="7" t="s">
        <v>211</v>
      </c>
      <c r="F63" s="8">
        <v>25000</v>
      </c>
      <c r="G63" s="4">
        <f>ABS(C63)-ABS(F63)</f>
        <v>0</v>
      </c>
      <c r="H63" s="7">
        <f>IF(ABS(G63)&lt;0.1,"OK","REVISAR")</f>
        <v>0</v>
      </c>
    </row>
    <row r="64" spans="1:8">
      <c r="A64" s="7" t="s">
        <v>212</v>
      </c>
      <c r="B64" s="7" t="s">
        <v>213</v>
      </c>
      <c r="C64" s="8">
        <v>0</v>
      </c>
      <c r="D64" s="7" t="s">
        <v>214</v>
      </c>
      <c r="E64" s="7" t="s">
        <v>215</v>
      </c>
      <c r="F64" s="8">
        <v>25000</v>
      </c>
      <c r="G64" s="4">
        <f>ABS(C64)-ABS(F64)</f>
        <v>0</v>
      </c>
      <c r="H64" s="7">
        <f>IF(ABS(G64)&lt;0.1,"OK","REVISAR")</f>
        <v>0</v>
      </c>
    </row>
    <row r="65" spans="1:8">
      <c r="A65" s="5" t="s">
        <v>216</v>
      </c>
      <c r="B65" s="5" t="s">
        <v>217</v>
      </c>
      <c r="C65" s="6">
        <v>192437.9</v>
      </c>
      <c r="D65" s="5"/>
      <c r="E65" s="5"/>
      <c r="F65" s="5"/>
      <c r="G65" s="5"/>
      <c r="H65" s="5"/>
    </row>
    <row r="66" spans="1:8">
      <c r="A66" s="5" t="s">
        <v>218</v>
      </c>
      <c r="B66" s="5" t="s">
        <v>219</v>
      </c>
      <c r="C66" s="6">
        <v>-13553.3</v>
      </c>
      <c r="D66" s="5"/>
      <c r="E66" s="5"/>
      <c r="F66" s="5"/>
      <c r="G66" s="5"/>
      <c r="H66" s="5"/>
    </row>
    <row r="67" spans="1:8">
      <c r="A67" s="7" t="s">
        <v>220</v>
      </c>
      <c r="B67" s="7" t="s">
        <v>221</v>
      </c>
      <c r="C67" s="8">
        <v>0</v>
      </c>
      <c r="D67" s="7" t="s">
        <v>222</v>
      </c>
      <c r="E67" s="7" t="s">
        <v>223</v>
      </c>
      <c r="F67" s="8">
        <v>0.0043</v>
      </c>
      <c r="G67" s="4">
        <f>ABS(C67)-ABS(F67)</f>
        <v>0</v>
      </c>
      <c r="H67" s="7">
        <f>IF(ABS(G67)&lt;0.1,"OK","REVISAR")</f>
        <v>0</v>
      </c>
    </row>
    <row r="68" spans="1:8">
      <c r="A68" s="7" t="s">
        <v>224</v>
      </c>
      <c r="B68" s="7" t="s">
        <v>225</v>
      </c>
      <c r="C68" s="8">
        <v>0</v>
      </c>
      <c r="D68" s="7" t="s">
        <v>226</v>
      </c>
      <c r="E68" s="7" t="s">
        <v>227</v>
      </c>
      <c r="F68" s="8">
        <v>0</v>
      </c>
      <c r="G68" s="4">
        <f>ABS(C68)-ABS(F68)</f>
        <v>0</v>
      </c>
      <c r="H68" s="7">
        <f>IF(ABS(G68)&lt;0.1,"OK","REVISAR")</f>
        <v>0</v>
      </c>
    </row>
    <row r="69" spans="1:8">
      <c r="A69" s="7" t="s">
        <v>228</v>
      </c>
      <c r="B69" s="7" t="s">
        <v>229</v>
      </c>
      <c r="C69" s="8">
        <v>22.45</v>
      </c>
      <c r="D69" s="7" t="s">
        <v>230</v>
      </c>
      <c r="E69" s="7" t="s">
        <v>231</v>
      </c>
      <c r="F69" s="8">
        <v>22.45</v>
      </c>
      <c r="G69" s="4">
        <f>ABS(C69)-ABS(F69)</f>
        <v>0</v>
      </c>
      <c r="H69" s="7">
        <f>IF(ABS(G69)&lt;0.1,"OK","REVISAR")</f>
        <v>0</v>
      </c>
    </row>
    <row r="70" spans="1:8">
      <c r="A70" s="7" t="s">
        <v>232</v>
      </c>
      <c r="B70" s="7" t="s">
        <v>233</v>
      </c>
      <c r="C70" s="8">
        <v>17500</v>
      </c>
      <c r="D70" s="7" t="s">
        <v>234</v>
      </c>
      <c r="E70" s="7" t="s">
        <v>95</v>
      </c>
      <c r="F70" s="8">
        <v>0</v>
      </c>
      <c r="G70" s="4">
        <f>ABS(C70)-ABS(F70)</f>
        <v>0</v>
      </c>
      <c r="H70" s="7">
        <f>IF(ABS(G70)&lt;0.1,"OK","REVISAR")</f>
        <v>0</v>
      </c>
    </row>
    <row r="71" spans="1:8">
      <c r="A71" s="7" t="s">
        <v>235</v>
      </c>
      <c r="B71" s="7" t="s">
        <v>236</v>
      </c>
      <c r="C71" s="8">
        <v>65530.73</v>
      </c>
      <c r="D71" s="7" t="s">
        <v>237</v>
      </c>
      <c r="E71" s="7" t="s">
        <v>238</v>
      </c>
      <c r="F71" s="8">
        <v>65530.73</v>
      </c>
      <c r="G71" s="4">
        <f>ABS(C71)-ABS(F71)</f>
        <v>0</v>
      </c>
      <c r="H71" s="7">
        <f>IF(ABS(G71)&lt;0.1,"OK","REVISAR")</f>
        <v>0</v>
      </c>
    </row>
    <row r="72" spans="1:8">
      <c r="A72" s="7" t="s">
        <v>239</v>
      </c>
      <c r="B72" s="7" t="s">
        <v>240</v>
      </c>
      <c r="C72" s="8">
        <v>0</v>
      </c>
      <c r="D72" s="7" t="s">
        <v>241</v>
      </c>
      <c r="E72" s="7" t="s">
        <v>95</v>
      </c>
      <c r="F72" s="8">
        <v>0</v>
      </c>
      <c r="G72" s="4">
        <f>ABS(C72)-ABS(F72)</f>
        <v>0</v>
      </c>
      <c r="H72" s="7">
        <f>IF(ABS(G72)&lt;0.1,"OK","REVISAR")</f>
        <v>0</v>
      </c>
    </row>
    <row r="73" spans="1:8">
      <c r="A73" s="7" t="s">
        <v>242</v>
      </c>
      <c r="B73" s="7" t="s">
        <v>243</v>
      </c>
      <c r="C73" s="8">
        <v>0</v>
      </c>
      <c r="D73" s="7" t="s">
        <v>244</v>
      </c>
      <c r="E73" s="7" t="s">
        <v>95</v>
      </c>
      <c r="F73" s="8">
        <v>0</v>
      </c>
      <c r="G73" s="4">
        <f>ABS(C73)-ABS(F73)</f>
        <v>0</v>
      </c>
      <c r="H73" s="7">
        <f>IF(ABS(G73)&lt;0.1,"OK","REVISAR")</f>
        <v>0</v>
      </c>
    </row>
    <row r="74" spans="1:8">
      <c r="A74" s="2" t="s">
        <v>14</v>
      </c>
      <c r="B74" s="2" t="s">
        <v>245</v>
      </c>
      <c r="C74" s="3">
        <v>122938.02</v>
      </c>
      <c r="D74" s="2" t="s">
        <v>246</v>
      </c>
      <c r="E74" s="2" t="s">
        <v>223</v>
      </c>
      <c r="F74" s="3">
        <v>-83473.49000000001</v>
      </c>
      <c r="G74" s="4">
        <f>ABS(C74)-ABS(F74)</f>
        <v>0</v>
      </c>
      <c r="H74" s="2">
        <f>IF(ABS(G74)&lt;0.1,"OK","REVISAR")</f>
        <v>0</v>
      </c>
    </row>
    <row r="75" spans="1:8">
      <c r="A75" s="7" t="s">
        <v>247</v>
      </c>
      <c r="B75" s="7" t="s">
        <v>248</v>
      </c>
      <c r="C75" s="8">
        <v>13259.73</v>
      </c>
      <c r="D75" s="7" t="s">
        <v>246</v>
      </c>
      <c r="E75" s="7" t="s">
        <v>223</v>
      </c>
      <c r="F75" s="7"/>
      <c r="G75" s="7"/>
      <c r="H75" s="7"/>
    </row>
    <row r="76" spans="1:8">
      <c r="A76" s="7" t="s">
        <v>249</v>
      </c>
      <c r="B76" s="7" t="s">
        <v>250</v>
      </c>
      <c r="C76" s="8">
        <v>37791.3</v>
      </c>
      <c r="D76" s="7" t="s">
        <v>246</v>
      </c>
      <c r="E76" s="7" t="s">
        <v>223</v>
      </c>
      <c r="F76" s="7"/>
      <c r="G76" s="7"/>
      <c r="H76" s="7"/>
    </row>
    <row r="77" spans="1:8">
      <c r="A77" s="7" t="s">
        <v>251</v>
      </c>
      <c r="B77" s="7" t="s">
        <v>252</v>
      </c>
      <c r="C77" s="8">
        <v>71886.99000000001</v>
      </c>
      <c r="D77" s="7" t="s">
        <v>246</v>
      </c>
      <c r="E77" s="7" t="s">
        <v>223</v>
      </c>
      <c r="F77" s="7"/>
      <c r="G77" s="7"/>
      <c r="H77" s="7"/>
    </row>
    <row r="78" spans="1:8">
      <c r="A78" s="5"/>
      <c r="B78" s="5" t="s">
        <v>253</v>
      </c>
      <c r="C78" s="6">
        <v>205991.2</v>
      </c>
      <c r="D78" s="5"/>
      <c r="E78" s="5"/>
      <c r="F78" s="5"/>
      <c r="G78" s="5"/>
      <c r="H78" s="5"/>
    </row>
    <row r="79" spans="1:8">
      <c r="A79" s="2" t="s">
        <v>254</v>
      </c>
      <c r="B79" s="2" t="s">
        <v>255</v>
      </c>
      <c r="C79" s="3">
        <v>144862.82</v>
      </c>
      <c r="D79" s="2" t="s">
        <v>256</v>
      </c>
      <c r="E79" s="2" t="s">
        <v>257</v>
      </c>
      <c r="F79" s="3">
        <v>144862.82</v>
      </c>
      <c r="G79" s="4">
        <f>ABS(C79)-ABS(F79)</f>
        <v>0</v>
      </c>
      <c r="H79" s="2">
        <f>IF(ABS(G79)&lt;0.1,"OK","REVISAR")</f>
        <v>0</v>
      </c>
    </row>
    <row r="80" spans="1:8">
      <c r="A80" s="5" t="s">
        <v>258</v>
      </c>
      <c r="B80" s="5" t="s">
        <v>259</v>
      </c>
      <c r="C80" s="6">
        <v>144862.82</v>
      </c>
      <c r="D80" s="5"/>
      <c r="E80" s="5"/>
      <c r="F80" s="5"/>
      <c r="G80" s="5"/>
      <c r="H80" s="5"/>
    </row>
    <row r="81" spans="1:8">
      <c r="A81" s="7" t="s">
        <v>260</v>
      </c>
      <c r="B81" s="7" t="s">
        <v>261</v>
      </c>
      <c r="C81" s="8">
        <v>144862.82</v>
      </c>
      <c r="D81" s="7" t="s">
        <v>262</v>
      </c>
      <c r="E81" s="7" t="s">
        <v>263</v>
      </c>
      <c r="F81" s="8">
        <v>144862.82</v>
      </c>
      <c r="G81" s="4">
        <f>ABS(C81)-ABS(F81)</f>
        <v>0</v>
      </c>
      <c r="H81" s="7">
        <f>IF(ABS(G81)&lt;0.1,"OK","REVISAR")</f>
        <v>0</v>
      </c>
    </row>
    <row r="82" spans="1:8">
      <c r="A82" s="5" t="s">
        <v>264</v>
      </c>
      <c r="B82" s="5" t="s">
        <v>265</v>
      </c>
      <c r="C82" s="6">
        <v>0</v>
      </c>
      <c r="D82" s="5"/>
      <c r="E82" s="5"/>
      <c r="F82" s="5"/>
      <c r="G82" s="5"/>
      <c r="H82" s="5"/>
    </row>
    <row r="83" spans="1:8">
      <c r="A83" s="7" t="s">
        <v>266</v>
      </c>
      <c r="B83" s="7" t="s">
        <v>267</v>
      </c>
      <c r="C83" s="8">
        <v>0</v>
      </c>
      <c r="D83" s="7" t="s">
        <v>268</v>
      </c>
      <c r="E83" s="7" t="s">
        <v>269</v>
      </c>
      <c r="F83" s="8">
        <v>0</v>
      </c>
      <c r="G83" s="4">
        <f>ABS(C83)-ABS(F83)</f>
        <v>0</v>
      </c>
      <c r="H83" s="7">
        <f>IF(ABS(G83)&lt;0.1,"OK","REVISAR")</f>
        <v>0</v>
      </c>
    </row>
    <row r="84" spans="1:8">
      <c r="A84" s="2" t="s">
        <v>270</v>
      </c>
      <c r="B84" s="2" t="s">
        <v>271</v>
      </c>
      <c r="C84" s="3">
        <v>557095.11</v>
      </c>
      <c r="D84" s="2" t="s">
        <v>272</v>
      </c>
      <c r="E84" s="2" t="s">
        <v>273</v>
      </c>
      <c r="F84" s="3">
        <v>557095.11</v>
      </c>
      <c r="G84" s="4">
        <f>ABS(C84)-ABS(F84)</f>
        <v>0</v>
      </c>
      <c r="H84" s="2">
        <f>IF(ABS(G84)&lt;0.1,"OK","REVISAR")</f>
        <v>0</v>
      </c>
    </row>
    <row r="85" spans="1:8">
      <c r="A85" s="5" t="s">
        <v>274</v>
      </c>
      <c r="B85" s="5" t="s">
        <v>275</v>
      </c>
      <c r="C85" s="6">
        <v>557801.35</v>
      </c>
      <c r="D85" s="5"/>
      <c r="E85" s="5"/>
      <c r="F85" s="5"/>
      <c r="G85" s="5"/>
      <c r="H85" s="5"/>
    </row>
    <row r="86" spans="1:8">
      <c r="A86" s="7" t="s">
        <v>276</v>
      </c>
      <c r="B86" s="7" t="s">
        <v>277</v>
      </c>
      <c r="C86" s="8">
        <v>557801.35</v>
      </c>
      <c r="D86" s="7" t="s">
        <v>278</v>
      </c>
      <c r="E86" s="7" t="s">
        <v>279</v>
      </c>
      <c r="F86" s="8">
        <v>557801.35</v>
      </c>
      <c r="G86" s="4">
        <f>ABS(C86)-ABS(F86)</f>
        <v>0</v>
      </c>
      <c r="H86" s="7">
        <f>IF(ABS(G86)&lt;0.1,"OK","REVISAR")</f>
        <v>0</v>
      </c>
    </row>
    <row r="87" spans="1:8">
      <c r="A87" s="5" t="s">
        <v>280</v>
      </c>
      <c r="B87" s="5" t="s">
        <v>281</v>
      </c>
      <c r="C87" s="6">
        <v>-975</v>
      </c>
      <c r="D87" s="5"/>
      <c r="E87" s="5"/>
      <c r="F87" s="5"/>
      <c r="G87" s="5"/>
      <c r="H87" s="5"/>
    </row>
    <row r="88" spans="1:8">
      <c r="A88" s="7" t="s">
        <v>282</v>
      </c>
      <c r="B88" s="7" t="s">
        <v>283</v>
      </c>
      <c r="C88" s="8">
        <v>-975</v>
      </c>
      <c r="D88" s="7" t="s">
        <v>284</v>
      </c>
      <c r="E88" s="7" t="s">
        <v>285</v>
      </c>
      <c r="F88" s="8">
        <v>-975</v>
      </c>
      <c r="G88" s="4">
        <f>ABS(C88)-ABS(F88)</f>
        <v>0</v>
      </c>
      <c r="H88" s="7">
        <f>IF(ABS(G88)&lt;0.1,"OK","REVISAR")</f>
        <v>0</v>
      </c>
    </row>
    <row r="89" spans="1:8">
      <c r="A89" s="5" t="s">
        <v>286</v>
      </c>
      <c r="B89" s="5" t="s">
        <v>287</v>
      </c>
      <c r="C89" s="6">
        <v>268.76</v>
      </c>
      <c r="D89" s="5"/>
      <c r="E89" s="5"/>
      <c r="F89" s="5"/>
      <c r="G89" s="5"/>
      <c r="H89" s="5"/>
    </row>
    <row r="90" spans="1:8">
      <c r="A90" s="7" t="s">
        <v>288</v>
      </c>
      <c r="B90" s="7" t="s">
        <v>289</v>
      </c>
      <c r="C90" s="8">
        <v>268.76</v>
      </c>
      <c r="D90" s="7" t="s">
        <v>290</v>
      </c>
      <c r="E90" s="7" t="s">
        <v>291</v>
      </c>
      <c r="F90" s="8">
        <v>268.76</v>
      </c>
      <c r="G90" s="4">
        <f>ABS(C90)-ABS(F90)</f>
        <v>0</v>
      </c>
      <c r="H90" s="7">
        <f>IF(ABS(G90)&lt;0.1,"OK","REVISAR")</f>
        <v>0</v>
      </c>
    </row>
    <row r="91" spans="1:8">
      <c r="A91" s="2" t="s">
        <v>292</v>
      </c>
      <c r="B91" s="2" t="s">
        <v>293</v>
      </c>
      <c r="C91" s="3">
        <v>1052874.65</v>
      </c>
      <c r="D91" s="2" t="s">
        <v>294</v>
      </c>
      <c r="E91" s="2" t="s">
        <v>295</v>
      </c>
      <c r="F91" s="3">
        <v>1052874.65</v>
      </c>
      <c r="G91" s="4">
        <f>ABS(C91)-ABS(F91)</f>
        <v>0</v>
      </c>
      <c r="H91" s="2">
        <f>IF(ABS(G91)&lt;0.1,"OK","REVISAR")</f>
        <v>0</v>
      </c>
    </row>
    <row r="92" spans="1:8">
      <c r="A92" s="5" t="s">
        <v>296</v>
      </c>
      <c r="B92" s="5" t="s">
        <v>297</v>
      </c>
      <c r="C92" s="6">
        <v>1052874.65</v>
      </c>
      <c r="D92" s="5"/>
      <c r="E92" s="5"/>
      <c r="F92" s="5"/>
      <c r="G92" s="5"/>
      <c r="H92" s="5"/>
    </row>
    <row r="93" spans="1:8">
      <c r="A93" s="7" t="s">
        <v>298</v>
      </c>
      <c r="B93" s="7" t="s">
        <v>299</v>
      </c>
      <c r="C93" s="8">
        <v>621609</v>
      </c>
      <c r="D93" s="7" t="s">
        <v>300</v>
      </c>
      <c r="E93" s="7" t="s">
        <v>301</v>
      </c>
      <c r="F93" s="8">
        <v>621609</v>
      </c>
      <c r="G93" s="4">
        <f>ABS(C93)-ABS(F93)</f>
        <v>0</v>
      </c>
      <c r="H93" s="7">
        <f>IF(ABS(G93)&lt;0.1,"OK","REVISAR")</f>
        <v>0</v>
      </c>
    </row>
    <row r="94" spans="1:8">
      <c r="A94" s="7" t="s">
        <v>302</v>
      </c>
      <c r="B94" s="7" t="s">
        <v>303</v>
      </c>
      <c r="C94" s="8">
        <v>1360.26</v>
      </c>
      <c r="D94" s="7" t="s">
        <v>304</v>
      </c>
      <c r="E94" s="7" t="s">
        <v>291</v>
      </c>
      <c r="F94" s="8">
        <v>1360.26</v>
      </c>
      <c r="G94" s="4">
        <f>ABS(C94)-ABS(F94)</f>
        <v>0</v>
      </c>
      <c r="H94" s="7">
        <f>IF(ABS(G94)&lt;0.1,"OK","REVISAR")</f>
        <v>0</v>
      </c>
    </row>
    <row r="95" spans="1:8">
      <c r="A95" s="7" t="s">
        <v>305</v>
      </c>
      <c r="B95" s="7" t="s">
        <v>306</v>
      </c>
      <c r="C95" s="8">
        <v>102358.41</v>
      </c>
      <c r="D95" s="7" t="s">
        <v>307</v>
      </c>
      <c r="E95" s="7" t="s">
        <v>308</v>
      </c>
      <c r="F95" s="8">
        <v>102358.41</v>
      </c>
      <c r="G95" s="4">
        <f>ABS(C95)-ABS(F95)</f>
        <v>0</v>
      </c>
      <c r="H95" s="7">
        <f>IF(ABS(G95)&lt;0.1,"OK","REVISAR")</f>
        <v>0</v>
      </c>
    </row>
    <row r="96" spans="1:8">
      <c r="A96" s="7" t="s">
        <v>309</v>
      </c>
      <c r="B96" s="7" t="s">
        <v>310</v>
      </c>
      <c r="C96" s="8">
        <v>327546.98</v>
      </c>
      <c r="D96" s="7" t="s">
        <v>311</v>
      </c>
      <c r="E96" s="7" t="s">
        <v>312</v>
      </c>
      <c r="F96" s="8">
        <v>327546.98</v>
      </c>
      <c r="G96" s="4">
        <f>ABS(C96)-ABS(F96)</f>
        <v>0</v>
      </c>
      <c r="H96" s="7">
        <f>IF(ABS(G96)&lt;0.1,"OK","REVISAR")</f>
        <v>0</v>
      </c>
    </row>
    <row r="97" spans="1:8">
      <c r="A97" s="2" t="s">
        <v>14</v>
      </c>
      <c r="B97" s="2" t="s">
        <v>313</v>
      </c>
      <c r="C97" s="3">
        <v>1873761.22</v>
      </c>
      <c r="D97" s="2" t="s">
        <v>314</v>
      </c>
      <c r="E97" s="2" t="s">
        <v>315</v>
      </c>
      <c r="F97" s="3">
        <v>864552.7975</v>
      </c>
      <c r="G97" s="4">
        <f>ABS(C97)-ABS(F97)</f>
        <v>0</v>
      </c>
      <c r="H97" s="2">
        <f>IF(ABS(G97)&lt;0.1,"OK","REVISAR")</f>
        <v>0</v>
      </c>
    </row>
    <row r="98" spans="1:8">
      <c r="A98" s="7" t="s">
        <v>316</v>
      </c>
      <c r="B98" s="7" t="s">
        <v>317</v>
      </c>
      <c r="C98" s="8">
        <v>936880.61</v>
      </c>
      <c r="D98" s="7" t="s">
        <v>314</v>
      </c>
      <c r="E98" s="7" t="s">
        <v>315</v>
      </c>
      <c r="F98" s="7"/>
      <c r="G98" s="7"/>
      <c r="H98" s="7"/>
    </row>
    <row r="99" spans="1:8">
      <c r="A99" s="5" t="s">
        <v>318</v>
      </c>
      <c r="B99" s="5" t="s">
        <v>317</v>
      </c>
      <c r="C99" s="6">
        <v>936880.61</v>
      </c>
      <c r="D99" s="5"/>
      <c r="E99" s="5"/>
      <c r="F99" s="5"/>
      <c r="G99" s="5"/>
      <c r="H99" s="5"/>
    </row>
    <row r="100" spans="1:8">
      <c r="A100" s="7" t="s">
        <v>319</v>
      </c>
      <c r="B100" s="7" t="s">
        <v>320</v>
      </c>
      <c r="C100" s="8">
        <v>936880.61</v>
      </c>
      <c r="D100" s="7" t="s">
        <v>314</v>
      </c>
      <c r="E100" s="7" t="s">
        <v>315</v>
      </c>
      <c r="F100" s="7"/>
      <c r="G100" s="7"/>
      <c r="H100" s="7"/>
    </row>
    <row r="101" spans="1:8">
      <c r="A101" s="2" t="s">
        <v>321</v>
      </c>
      <c r="B101" s="2" t="s">
        <v>322</v>
      </c>
      <c r="C101" s="3">
        <v>487536.34</v>
      </c>
      <c r="D101" s="2" t="s">
        <v>323</v>
      </c>
      <c r="E101" s="2" t="s">
        <v>324</v>
      </c>
      <c r="F101" s="3">
        <v>482293.7895</v>
      </c>
      <c r="G101" s="4">
        <f>ABS(C101)-ABS(F101)</f>
        <v>0</v>
      </c>
      <c r="H101" s="2">
        <f>IF(ABS(G101)&lt;0.1,"OK","REVISAR")</f>
        <v>0</v>
      </c>
    </row>
    <row r="102" spans="1:8">
      <c r="A102" s="5" t="s">
        <v>325</v>
      </c>
      <c r="B102" s="5" t="s">
        <v>326</v>
      </c>
      <c r="C102" s="6">
        <v>487536.34</v>
      </c>
      <c r="D102" s="5"/>
      <c r="E102" s="5"/>
      <c r="F102" s="5"/>
      <c r="G102" s="5"/>
      <c r="H102" s="5"/>
    </row>
    <row r="103" spans="1:8">
      <c r="A103" s="7" t="s">
        <v>327</v>
      </c>
      <c r="B103" s="7" t="s">
        <v>328</v>
      </c>
      <c r="C103" s="8">
        <v>463667.34</v>
      </c>
      <c r="D103" s="7" t="s">
        <v>329</v>
      </c>
      <c r="E103" s="7" t="s">
        <v>330</v>
      </c>
      <c r="F103" s="8">
        <v>458318.7895</v>
      </c>
      <c r="G103" s="4">
        <f>ABS(C103)-ABS(F103)</f>
        <v>0</v>
      </c>
      <c r="H103" s="7">
        <f>IF(ABS(G103)&lt;0.1,"OK","REVISAR")</f>
        <v>0</v>
      </c>
    </row>
    <row r="104" spans="1:8">
      <c r="A104" s="7" t="s">
        <v>331</v>
      </c>
      <c r="B104" s="7" t="s">
        <v>332</v>
      </c>
      <c r="C104" s="8">
        <v>23869</v>
      </c>
      <c r="D104" s="7" t="s">
        <v>333</v>
      </c>
      <c r="E104" s="7" t="s">
        <v>334</v>
      </c>
      <c r="F104" s="8">
        <v>23975</v>
      </c>
      <c r="G104" s="4">
        <f>ABS(C104)-ABS(F104)</f>
        <v>0</v>
      </c>
      <c r="H104" s="7">
        <f>IF(ABS(G104)&lt;0.1,"OK","REVISAR")</f>
        <v>0</v>
      </c>
    </row>
    <row r="105" spans="1:8">
      <c r="A105" s="5" t="s">
        <v>335</v>
      </c>
      <c r="B105" s="5" t="s">
        <v>336</v>
      </c>
      <c r="C105" s="6">
        <v>0</v>
      </c>
      <c r="D105" s="5"/>
      <c r="E105" s="5"/>
      <c r="F105" s="5"/>
      <c r="G105" s="5"/>
      <c r="H105" s="5"/>
    </row>
    <row r="106" spans="1:8">
      <c r="A106" s="7" t="s">
        <v>337</v>
      </c>
      <c r="B106" s="7" t="s">
        <v>338</v>
      </c>
      <c r="C106" s="8">
        <v>0</v>
      </c>
      <c r="D106" s="7" t="s">
        <v>339</v>
      </c>
      <c r="E106" s="7" t="s">
        <v>95</v>
      </c>
      <c r="F106" s="8">
        <v>0</v>
      </c>
      <c r="G106" s="4">
        <f>ABS(C106)-ABS(F106)</f>
        <v>0</v>
      </c>
      <c r="H106" s="7">
        <f>IF(ABS(G106)&lt;0.1,"OK","REVISAR")</f>
        <v>0</v>
      </c>
    </row>
    <row r="107" spans="1:8">
      <c r="A107" s="2" t="s">
        <v>340</v>
      </c>
      <c r="B107" s="2" t="s">
        <v>341</v>
      </c>
      <c r="C107" s="3">
        <v>810414.1800000001</v>
      </c>
      <c r="D107" s="2" t="s">
        <v>342</v>
      </c>
      <c r="E107" s="2" t="s">
        <v>343</v>
      </c>
      <c r="F107" s="3">
        <v>816340.6459</v>
      </c>
      <c r="G107" s="4">
        <f>ABS(C107)-ABS(F107)</f>
        <v>0</v>
      </c>
      <c r="H107" s="2">
        <f>IF(ABS(G107)&lt;0.1,"OK","REVISAR")</f>
        <v>0</v>
      </c>
    </row>
    <row r="108" spans="1:8">
      <c r="A108" s="5" t="s">
        <v>344</v>
      </c>
      <c r="B108" s="5" t="s">
        <v>345</v>
      </c>
      <c r="C108" s="6">
        <v>810043.62</v>
      </c>
      <c r="D108" s="5"/>
      <c r="E108" s="5"/>
      <c r="F108" s="5"/>
      <c r="G108" s="5"/>
      <c r="H108" s="5"/>
    </row>
    <row r="109" spans="1:8">
      <c r="A109" s="7" t="s">
        <v>346</v>
      </c>
      <c r="B109" s="7" t="s">
        <v>347</v>
      </c>
      <c r="C109" s="8">
        <v>810043.62</v>
      </c>
      <c r="D109" s="7" t="s">
        <v>348</v>
      </c>
      <c r="E109" s="7" t="s">
        <v>349</v>
      </c>
      <c r="F109" s="8">
        <v>815970.0858999999</v>
      </c>
      <c r="G109" s="4">
        <f>ABS(C109)-ABS(F109)</f>
        <v>0</v>
      </c>
      <c r="H109" s="7">
        <f>IF(ABS(G109)&lt;0.1,"OK","REVISAR")</f>
        <v>0</v>
      </c>
    </row>
    <row r="110" spans="1:8">
      <c r="A110" s="5" t="s">
        <v>350</v>
      </c>
      <c r="B110" s="5" t="s">
        <v>351</v>
      </c>
      <c r="C110" s="6">
        <v>370.56</v>
      </c>
      <c r="D110" s="5"/>
      <c r="E110" s="5"/>
      <c r="F110" s="5"/>
      <c r="G110" s="5"/>
      <c r="H110" s="5"/>
    </row>
    <row r="111" spans="1:8">
      <c r="A111" s="7" t="s">
        <v>352</v>
      </c>
      <c r="B111" s="7" t="s">
        <v>353</v>
      </c>
      <c r="C111" s="8">
        <v>370.56</v>
      </c>
      <c r="D111" s="7" t="s">
        <v>354</v>
      </c>
      <c r="E111" s="7" t="s">
        <v>355</v>
      </c>
      <c r="F111" s="8">
        <v>370.56</v>
      </c>
      <c r="G111" s="4">
        <f>ABS(C111)-ABS(F111)</f>
        <v>0</v>
      </c>
      <c r="H111" s="7">
        <f>IF(ABS(G111)&lt;0.1,"OK","REVISAR")</f>
        <v>0</v>
      </c>
    </row>
    <row r="112" spans="1:8">
      <c r="A112" s="2" t="s">
        <v>356</v>
      </c>
      <c r="B112" s="2" t="s">
        <v>357</v>
      </c>
      <c r="C112" s="3">
        <v>653896.4699999999</v>
      </c>
      <c r="D112" s="2" t="s">
        <v>358</v>
      </c>
      <c r="E112" s="2" t="s">
        <v>359</v>
      </c>
      <c r="F112" s="3">
        <v>857310.09</v>
      </c>
      <c r="G112" s="4">
        <f>ABS(C112)-ABS(F112)</f>
        <v>0</v>
      </c>
      <c r="H112" s="2">
        <f>IF(ABS(G112)&lt;0.1,"OK","REVISAR")</f>
        <v>0</v>
      </c>
    </row>
    <row r="113" spans="1:8">
      <c r="A113" s="5" t="s">
        <v>360</v>
      </c>
      <c r="B113" s="5" t="s">
        <v>361</v>
      </c>
      <c r="C113" s="6">
        <v>619754.0099999999</v>
      </c>
      <c r="D113" s="5"/>
      <c r="E113" s="5"/>
      <c r="F113" s="5"/>
      <c r="G113" s="5"/>
      <c r="H113" s="5"/>
    </row>
    <row r="114" spans="1:8">
      <c r="A114" s="7" t="s">
        <v>360</v>
      </c>
      <c r="B114" s="7" t="s">
        <v>362</v>
      </c>
      <c r="C114" s="8">
        <v>93609.82000000001</v>
      </c>
      <c r="D114" s="7" t="s">
        <v>363</v>
      </c>
      <c r="E114" s="7" t="s">
        <v>364</v>
      </c>
      <c r="F114" s="8">
        <v>857310.09</v>
      </c>
      <c r="G114" s="4">
        <f>ABS(C114)-ABS(F114)</f>
        <v>0</v>
      </c>
      <c r="H114" s="7">
        <f>IF(ABS(G114)&lt;0.1,"OK","REVISAR")</f>
        <v>0</v>
      </c>
    </row>
    <row r="115" spans="1:8">
      <c r="A115" s="7" t="s">
        <v>365</v>
      </c>
      <c r="B115" s="7" t="s">
        <v>366</v>
      </c>
      <c r="C115" s="8">
        <v>0</v>
      </c>
      <c r="D115" s="7" t="s">
        <v>367</v>
      </c>
      <c r="E115" s="7" t="s">
        <v>95</v>
      </c>
      <c r="F115" s="8">
        <v>0</v>
      </c>
      <c r="G115" s="4">
        <f>ABS(C115)-ABS(F115)</f>
        <v>0</v>
      </c>
      <c r="H115" s="7">
        <f>IF(ABS(G115)&lt;0.1,"OK","REVISAR")</f>
        <v>0</v>
      </c>
    </row>
    <row r="116" spans="1:8">
      <c r="A116" s="7" t="s">
        <v>368</v>
      </c>
      <c r="B116" s="7" t="s">
        <v>369</v>
      </c>
      <c r="C116" s="8">
        <v>0</v>
      </c>
      <c r="D116" s="7" t="s">
        <v>370</v>
      </c>
      <c r="E116" s="7" t="s">
        <v>95</v>
      </c>
      <c r="F116" s="8">
        <v>0</v>
      </c>
      <c r="G116" s="4">
        <f>ABS(C116)-ABS(F116)</f>
        <v>0</v>
      </c>
      <c r="H116" s="7">
        <f>IF(ABS(G116)&lt;0.1,"OK","REVISAR")</f>
        <v>0</v>
      </c>
    </row>
    <row r="117" spans="1:8">
      <c r="A117" s="7" t="s">
        <v>371</v>
      </c>
      <c r="B117" s="7" t="s">
        <v>372</v>
      </c>
      <c r="C117" s="8">
        <v>481970.87</v>
      </c>
      <c r="D117" s="7" t="s">
        <v>373</v>
      </c>
      <c r="E117" s="7" t="s">
        <v>374</v>
      </c>
      <c r="F117" s="8">
        <v>749378.08</v>
      </c>
      <c r="G117" s="4">
        <f>ABS(C117)-ABS(F117)</f>
        <v>0</v>
      </c>
      <c r="H117" s="7">
        <f>IF(ABS(G117)&lt;0.1,"OK","REVISAR")</f>
        <v>0</v>
      </c>
    </row>
    <row r="118" spans="1:8">
      <c r="A118" s="7" t="s">
        <v>375</v>
      </c>
      <c r="B118" s="7" t="s">
        <v>376</v>
      </c>
      <c r="C118" s="8">
        <v>44173.32</v>
      </c>
      <c r="D118" s="7" t="s">
        <v>377</v>
      </c>
      <c r="E118" s="7" t="s">
        <v>378</v>
      </c>
      <c r="F118" s="8">
        <v>34107.47</v>
      </c>
      <c r="G118" s="4">
        <f>ABS(C118)-ABS(F118)</f>
        <v>0</v>
      </c>
      <c r="H118" s="7">
        <f>IF(ABS(G118)&lt;0.1,"OK","REVISAR")</f>
        <v>0</v>
      </c>
    </row>
    <row r="119" spans="1:8">
      <c r="A119" s="7" t="s">
        <v>379</v>
      </c>
      <c r="B119" s="7" t="s">
        <v>380</v>
      </c>
      <c r="C119" s="8">
        <v>0</v>
      </c>
      <c r="D119" s="7" t="s">
        <v>381</v>
      </c>
      <c r="E119" s="7" t="s">
        <v>382</v>
      </c>
      <c r="F119" s="8">
        <v>0</v>
      </c>
      <c r="G119" s="4">
        <f>ABS(C119)-ABS(F119)</f>
        <v>0</v>
      </c>
      <c r="H119" s="7">
        <f>IF(ABS(G119)&lt;0.1,"OK","REVISAR")</f>
        <v>0</v>
      </c>
    </row>
    <row r="120" spans="1:8">
      <c r="A120" s="5" t="s">
        <v>383</v>
      </c>
      <c r="B120" s="5" t="s">
        <v>384</v>
      </c>
      <c r="C120" s="6">
        <v>34142.46</v>
      </c>
      <c r="D120" s="5"/>
      <c r="E120" s="5"/>
      <c r="F120" s="5"/>
      <c r="G120" s="5"/>
      <c r="H120" s="5"/>
    </row>
    <row r="121" spans="1:8">
      <c r="A121" s="2" t="s">
        <v>385</v>
      </c>
      <c r="B121" s="2" t="s">
        <v>384</v>
      </c>
      <c r="C121" s="3">
        <v>34142.46</v>
      </c>
      <c r="D121" s="2" t="s">
        <v>386</v>
      </c>
      <c r="E121" s="2" t="s">
        <v>95</v>
      </c>
      <c r="F121" s="3">
        <v>0</v>
      </c>
      <c r="G121" s="4">
        <f>ABS(C121)-ABS(F121)</f>
        <v>0</v>
      </c>
      <c r="H121" s="2">
        <f>IF(ABS(G121)&lt;0.1,"OK","REVISAR")</f>
        <v>0</v>
      </c>
    </row>
    <row r="122" spans="1:8">
      <c r="A122" s="2" t="s">
        <v>387</v>
      </c>
      <c r="B122" s="2" t="s">
        <v>388</v>
      </c>
      <c r="C122" s="3">
        <v>5912417.43</v>
      </c>
      <c r="D122" s="2" t="s">
        <v>389</v>
      </c>
      <c r="E122" s="2" t="s">
        <v>390</v>
      </c>
      <c r="F122" s="3">
        <v>5912417.43</v>
      </c>
      <c r="G122" s="4">
        <f>ABS(C122)-ABS(F122)</f>
        <v>0</v>
      </c>
      <c r="H122" s="2">
        <f>IF(ABS(G122)&lt;0.1,"OK","REVISAR")</f>
        <v>0</v>
      </c>
    </row>
    <row r="123" spans="1:8">
      <c r="A123" s="5" t="s">
        <v>391</v>
      </c>
      <c r="B123" s="5" t="s">
        <v>388</v>
      </c>
      <c r="C123" s="6">
        <v>5912417.43</v>
      </c>
      <c r="D123" s="5"/>
      <c r="E123" s="5"/>
      <c r="F123" s="5"/>
      <c r="G123" s="5"/>
      <c r="H123" s="5"/>
    </row>
    <row r="124" spans="1:8">
      <c r="A124" s="7" t="s">
        <v>392</v>
      </c>
      <c r="B124" s="7" t="s">
        <v>393</v>
      </c>
      <c r="C124" s="8">
        <v>400577.51</v>
      </c>
      <c r="D124" s="7" t="s">
        <v>394</v>
      </c>
      <c r="E124" s="7" t="s">
        <v>395</v>
      </c>
      <c r="F124" s="8">
        <v>400577.51</v>
      </c>
      <c r="G124" s="4">
        <f>ABS(C124)-ABS(F124)</f>
        <v>0</v>
      </c>
      <c r="H124" s="7">
        <f>IF(ABS(G124)&lt;0.1,"OK","REVISAR")</f>
        <v>0</v>
      </c>
    </row>
    <row r="125" spans="1:8">
      <c r="A125" s="7" t="s">
        <v>396</v>
      </c>
      <c r="B125" s="7" t="s">
        <v>397</v>
      </c>
      <c r="C125" s="8">
        <v>924634.8199999999</v>
      </c>
      <c r="D125" s="7" t="s">
        <v>398</v>
      </c>
      <c r="E125" s="7" t="s">
        <v>399</v>
      </c>
      <c r="F125" s="8">
        <v>924634.8199999999</v>
      </c>
      <c r="G125" s="4">
        <f>ABS(C125)-ABS(F125)</f>
        <v>0</v>
      </c>
      <c r="H125" s="7">
        <f>IF(ABS(G125)&lt;0.1,"OK","REVISAR")</f>
        <v>0</v>
      </c>
    </row>
    <row r="126" spans="1:8">
      <c r="A126" s="7" t="s">
        <v>400</v>
      </c>
      <c r="B126" s="7" t="s">
        <v>401</v>
      </c>
      <c r="C126" s="8">
        <v>605468.5699999999</v>
      </c>
      <c r="D126" s="7" t="s">
        <v>402</v>
      </c>
      <c r="E126" s="7" t="s">
        <v>403</v>
      </c>
      <c r="F126" s="8">
        <v>605468.5699999999</v>
      </c>
      <c r="G126" s="4">
        <f>ABS(C126)-ABS(F126)</f>
        <v>0</v>
      </c>
      <c r="H126" s="7">
        <f>IF(ABS(G126)&lt;0.1,"OK","REVISAR")</f>
        <v>0</v>
      </c>
    </row>
    <row r="127" spans="1:8">
      <c r="A127" s="7" t="s">
        <v>404</v>
      </c>
      <c r="B127" s="7" t="s">
        <v>405</v>
      </c>
      <c r="C127" s="8">
        <v>5610</v>
      </c>
      <c r="D127" s="7" t="s">
        <v>406</v>
      </c>
      <c r="E127" s="7" t="s">
        <v>407</v>
      </c>
      <c r="F127" s="8">
        <v>5610</v>
      </c>
      <c r="G127" s="4">
        <f>ABS(C127)-ABS(F127)</f>
        <v>0</v>
      </c>
      <c r="H127" s="7">
        <f>IF(ABS(G127)&lt;0.1,"OK","REVISAR")</f>
        <v>0</v>
      </c>
    </row>
    <row r="128" spans="1:8">
      <c r="A128" s="7" t="s">
        <v>408</v>
      </c>
      <c r="B128" s="7" t="s">
        <v>409</v>
      </c>
      <c r="C128" s="8">
        <v>609999.9</v>
      </c>
      <c r="D128" s="7" t="s">
        <v>410</v>
      </c>
      <c r="E128" s="7" t="s">
        <v>411</v>
      </c>
      <c r="F128" s="8">
        <v>609999.9</v>
      </c>
      <c r="G128" s="4">
        <f>ABS(C128)-ABS(F128)</f>
        <v>0</v>
      </c>
      <c r="H128" s="7">
        <f>IF(ABS(G128)&lt;0.1,"OK","REVISAR")</f>
        <v>0</v>
      </c>
    </row>
    <row r="129" spans="1:8">
      <c r="A129" s="7" t="s">
        <v>412</v>
      </c>
      <c r="B129" s="7" t="s">
        <v>413</v>
      </c>
      <c r="C129" s="8">
        <v>593585.8199999999</v>
      </c>
      <c r="D129" s="7" t="s">
        <v>414</v>
      </c>
      <c r="E129" s="7" t="s">
        <v>415</v>
      </c>
      <c r="F129" s="8">
        <v>593585.8199999999</v>
      </c>
      <c r="G129" s="4">
        <f>ABS(C129)-ABS(F129)</f>
        <v>0</v>
      </c>
      <c r="H129" s="7">
        <f>IF(ABS(G129)&lt;0.1,"OK","REVISAR")</f>
        <v>0</v>
      </c>
    </row>
    <row r="130" spans="1:8">
      <c r="A130" s="2" t="s">
        <v>14</v>
      </c>
      <c r="B130" s="2" t="s">
        <v>416</v>
      </c>
      <c r="C130" s="3">
        <v>105179.17</v>
      </c>
      <c r="D130" s="2" t="s">
        <v>417</v>
      </c>
      <c r="E130" s="2" t="s">
        <v>418</v>
      </c>
      <c r="F130" s="3">
        <v>105179.17</v>
      </c>
      <c r="G130" s="4">
        <f>ABS(C130)-ABS(F130)</f>
        <v>0</v>
      </c>
      <c r="H130" s="2">
        <f>IF(ABS(G130)&lt;0.1,"OK","REVISAR")</f>
        <v>0</v>
      </c>
    </row>
    <row r="131" spans="1:8">
      <c r="A131" s="7" t="s">
        <v>419</v>
      </c>
      <c r="B131" s="7" t="s">
        <v>420</v>
      </c>
      <c r="C131" s="8">
        <v>52589.58</v>
      </c>
      <c r="D131" s="7" t="s">
        <v>417</v>
      </c>
      <c r="E131" s="7" t="s">
        <v>418</v>
      </c>
      <c r="F131" s="7"/>
      <c r="G131" s="7"/>
      <c r="H131" s="7"/>
    </row>
    <row r="132" spans="1:8">
      <c r="A132" s="7" t="s">
        <v>421</v>
      </c>
      <c r="B132" s="7" t="s">
        <v>422</v>
      </c>
      <c r="C132" s="8">
        <v>52589.59</v>
      </c>
      <c r="D132" s="7" t="s">
        <v>417</v>
      </c>
      <c r="E132" s="7" t="s">
        <v>418</v>
      </c>
      <c r="F132" s="7"/>
      <c r="G132" s="7"/>
      <c r="H132" s="7"/>
    </row>
    <row r="133" spans="1:8">
      <c r="A133" s="7" t="s">
        <v>423</v>
      </c>
      <c r="B133" s="7" t="s">
        <v>424</v>
      </c>
      <c r="C133" s="8">
        <v>123511.11</v>
      </c>
      <c r="D133" s="7" t="s">
        <v>425</v>
      </c>
      <c r="E133" s="7" t="s">
        <v>426</v>
      </c>
      <c r="F133" s="8">
        <v>123511.11</v>
      </c>
      <c r="G133" s="4">
        <f>ABS(C133)-ABS(F133)</f>
        <v>0</v>
      </c>
      <c r="H133" s="7">
        <f>IF(ABS(G133)&lt;0.1,"OK","REVISAR")</f>
        <v>0</v>
      </c>
    </row>
    <row r="134" spans="1:8">
      <c r="A134" s="7" t="s">
        <v>427</v>
      </c>
      <c r="B134" s="7" t="s">
        <v>428</v>
      </c>
      <c r="C134" s="8">
        <v>65000.21</v>
      </c>
      <c r="D134" s="7" t="s">
        <v>429</v>
      </c>
      <c r="E134" s="7" t="s">
        <v>430</v>
      </c>
      <c r="F134" s="8">
        <v>65000.21</v>
      </c>
      <c r="G134" s="4">
        <f>ABS(C134)-ABS(F134)</f>
        <v>0</v>
      </c>
      <c r="H134" s="7">
        <f>IF(ABS(G134)&lt;0.1,"OK","REVISAR")</f>
        <v>0</v>
      </c>
    </row>
    <row r="135" spans="1:8">
      <c r="A135" s="7" t="s">
        <v>431</v>
      </c>
      <c r="B135" s="7" t="s">
        <v>432</v>
      </c>
      <c r="C135" s="8">
        <v>109100.21</v>
      </c>
      <c r="D135" s="7" t="s">
        <v>433</v>
      </c>
      <c r="E135" s="7" t="s">
        <v>434</v>
      </c>
      <c r="F135" s="8">
        <v>109100.21</v>
      </c>
      <c r="G135" s="4">
        <f>ABS(C135)-ABS(F135)</f>
        <v>0</v>
      </c>
      <c r="H135" s="7">
        <f>IF(ABS(G135)&lt;0.1,"OK","REVISAR")</f>
        <v>0</v>
      </c>
    </row>
    <row r="136" spans="1:8">
      <c r="A136" s="7" t="s">
        <v>435</v>
      </c>
      <c r="B136" s="7" t="s">
        <v>436</v>
      </c>
      <c r="C136" s="8">
        <v>221244.3</v>
      </c>
      <c r="D136" s="7" t="s">
        <v>437</v>
      </c>
      <c r="E136" s="7" t="s">
        <v>438</v>
      </c>
      <c r="F136" s="8">
        <v>221244.3</v>
      </c>
      <c r="G136" s="4">
        <f>ABS(C136)-ABS(F136)</f>
        <v>0</v>
      </c>
      <c r="H136" s="7">
        <f>IF(ABS(G136)&lt;0.1,"OK","REVISAR")</f>
        <v>0</v>
      </c>
    </row>
    <row r="137" spans="1:8">
      <c r="A137" s="7" t="s">
        <v>439</v>
      </c>
      <c r="B137" s="7" t="s">
        <v>440</v>
      </c>
      <c r="C137" s="8">
        <v>504710.55</v>
      </c>
      <c r="D137" s="7" t="s">
        <v>441</v>
      </c>
      <c r="E137" s="7" t="s">
        <v>442</v>
      </c>
      <c r="F137" s="8">
        <v>504710.55</v>
      </c>
      <c r="G137" s="4">
        <f>ABS(C137)-ABS(F137)</f>
        <v>0</v>
      </c>
      <c r="H137" s="7">
        <f>IF(ABS(G137)&lt;0.1,"OK","REVISAR")</f>
        <v>0</v>
      </c>
    </row>
    <row r="138" spans="1:8">
      <c r="A138" s="7" t="s">
        <v>443</v>
      </c>
      <c r="B138" s="7" t="s">
        <v>444</v>
      </c>
      <c r="C138" s="8">
        <v>1643795.26</v>
      </c>
      <c r="D138" s="7" t="s">
        <v>445</v>
      </c>
      <c r="E138" s="7" t="s">
        <v>446</v>
      </c>
      <c r="F138" s="8">
        <v>1643795.26</v>
      </c>
      <c r="G138" s="4">
        <f>ABS(C138)-ABS(F138)</f>
        <v>0</v>
      </c>
      <c r="H138" s="7">
        <f>IF(ABS(G138)&lt;0.1,"OK","REVISAR")</f>
        <v>0</v>
      </c>
    </row>
    <row r="139" spans="1:8">
      <c r="A139" s="2" t="s">
        <v>447</v>
      </c>
      <c r="B139" s="2" t="s">
        <v>448</v>
      </c>
      <c r="C139" s="3">
        <v>280000</v>
      </c>
      <c r="D139" s="2" t="s">
        <v>449</v>
      </c>
      <c r="E139" s="2" t="s">
        <v>450</v>
      </c>
      <c r="F139" s="3">
        <v>280000</v>
      </c>
      <c r="G139" s="4">
        <f>ABS(C139)-ABS(F139)</f>
        <v>0</v>
      </c>
      <c r="H139" s="2">
        <f>IF(ABS(G139)&lt;0.1,"OK","REVISAR")</f>
        <v>0</v>
      </c>
    </row>
    <row r="140" spans="1:8">
      <c r="A140" s="5" t="s">
        <v>451</v>
      </c>
      <c r="B140" s="5" t="s">
        <v>448</v>
      </c>
      <c r="C140" s="6">
        <v>280000</v>
      </c>
      <c r="D140" s="5"/>
      <c r="E140" s="5"/>
      <c r="F140" s="5"/>
      <c r="G140" s="5"/>
      <c r="H140" s="5"/>
    </row>
    <row r="141" spans="1:8">
      <c r="A141" s="7" t="s">
        <v>452</v>
      </c>
      <c r="B141" s="7" t="s">
        <v>453</v>
      </c>
      <c r="C141" s="8">
        <v>150000</v>
      </c>
      <c r="D141" s="7" t="s">
        <v>454</v>
      </c>
      <c r="E141" s="7" t="s">
        <v>455</v>
      </c>
      <c r="F141" s="8">
        <v>150000</v>
      </c>
      <c r="G141" s="4">
        <f>ABS(C141)-ABS(F141)</f>
        <v>0</v>
      </c>
      <c r="H141" s="7">
        <f>IF(ABS(G141)&lt;0.1,"OK","REVISAR")</f>
        <v>0</v>
      </c>
    </row>
    <row r="142" spans="1:8">
      <c r="A142" s="7" t="s">
        <v>456</v>
      </c>
      <c r="B142" s="7" t="s">
        <v>457</v>
      </c>
      <c r="C142" s="8">
        <v>130000</v>
      </c>
      <c r="D142" s="7" t="s">
        <v>458</v>
      </c>
      <c r="E142" s="7" t="s">
        <v>459</v>
      </c>
      <c r="F142" s="8">
        <v>130000</v>
      </c>
      <c r="G142" s="4">
        <f>ABS(C142)-ABS(F142)</f>
        <v>0</v>
      </c>
      <c r="H142" s="7">
        <f>IF(ABS(G142)&lt;0.1,"OK","REVISAR")</f>
        <v>0</v>
      </c>
    </row>
    <row r="143" spans="1:8">
      <c r="A143" s="2" t="s">
        <v>460</v>
      </c>
      <c r="B143" s="2" t="s">
        <v>461</v>
      </c>
      <c r="C143" s="3">
        <v>141794.15</v>
      </c>
      <c r="D143" s="2" t="s">
        <v>462</v>
      </c>
      <c r="E143" s="2" t="s">
        <v>463</v>
      </c>
      <c r="F143" s="3">
        <v>141794.15</v>
      </c>
      <c r="G143" s="4">
        <f>ABS(C143)-ABS(F143)</f>
        <v>0</v>
      </c>
      <c r="H143" s="2">
        <f>IF(ABS(G143)&lt;0.1,"OK","REVISAR")</f>
        <v>0</v>
      </c>
    </row>
    <row r="144" spans="1:8">
      <c r="A144" s="5" t="s">
        <v>464</v>
      </c>
      <c r="B144" s="5" t="s">
        <v>461</v>
      </c>
      <c r="C144" s="6">
        <v>141794.15</v>
      </c>
      <c r="D144" s="5"/>
      <c r="E144" s="5"/>
      <c r="F144" s="5"/>
      <c r="G144" s="5"/>
      <c r="H144" s="5"/>
    </row>
    <row r="145" spans="1:8">
      <c r="A145" s="7" t="s">
        <v>465</v>
      </c>
      <c r="B145" s="7" t="s">
        <v>466</v>
      </c>
      <c r="C145" s="8">
        <v>0</v>
      </c>
      <c r="D145" s="7" t="s">
        <v>467</v>
      </c>
      <c r="E145" s="7" t="s">
        <v>95</v>
      </c>
      <c r="F145" s="8">
        <v>0</v>
      </c>
      <c r="G145" s="4">
        <f>ABS(C145)-ABS(F145)</f>
        <v>0</v>
      </c>
      <c r="H145" s="7">
        <f>IF(ABS(G145)&lt;0.1,"OK","REVISAR")</f>
        <v>0</v>
      </c>
    </row>
    <row r="146" spans="1:8">
      <c r="A146" s="7" t="s">
        <v>468</v>
      </c>
      <c r="B146" s="7" t="s">
        <v>469</v>
      </c>
      <c r="C146" s="8">
        <v>6000.8</v>
      </c>
      <c r="D146" s="7" t="s">
        <v>470</v>
      </c>
      <c r="E146" s="7" t="s">
        <v>471</v>
      </c>
      <c r="F146" s="8">
        <v>6000.8</v>
      </c>
      <c r="G146" s="4">
        <f>ABS(C146)-ABS(F146)</f>
        <v>0</v>
      </c>
      <c r="H146" s="7">
        <f>IF(ABS(G146)&lt;0.1,"OK","REVISAR")</f>
        <v>0</v>
      </c>
    </row>
    <row r="147" spans="1:8">
      <c r="A147" s="7" t="s">
        <v>472</v>
      </c>
      <c r="B147" s="7" t="s">
        <v>473</v>
      </c>
      <c r="C147" s="8">
        <v>2791.2</v>
      </c>
      <c r="D147" s="7" t="s">
        <v>474</v>
      </c>
      <c r="E147" s="7" t="s">
        <v>475</v>
      </c>
      <c r="F147" s="8">
        <v>2791.2</v>
      </c>
      <c r="G147" s="4">
        <f>ABS(C147)-ABS(F147)</f>
        <v>0</v>
      </c>
      <c r="H147" s="7">
        <f>IF(ABS(G147)&lt;0.1,"OK","REVISAR")</f>
        <v>0</v>
      </c>
    </row>
    <row r="148" spans="1:8">
      <c r="A148" s="7" t="s">
        <v>476</v>
      </c>
      <c r="B148" s="7" t="s">
        <v>477</v>
      </c>
      <c r="C148" s="8">
        <v>6420</v>
      </c>
      <c r="D148" s="7" t="s">
        <v>478</v>
      </c>
      <c r="E148" s="7" t="s">
        <v>479</v>
      </c>
      <c r="F148" s="8">
        <v>6420</v>
      </c>
      <c r="G148" s="4">
        <f>ABS(C148)-ABS(F148)</f>
        <v>0</v>
      </c>
      <c r="H148" s="7">
        <f>IF(ABS(G148)&lt;0.1,"OK","REVISAR")</f>
        <v>0</v>
      </c>
    </row>
    <row r="149" spans="1:8">
      <c r="A149" s="7" t="s">
        <v>480</v>
      </c>
      <c r="B149" s="7" t="s">
        <v>481</v>
      </c>
      <c r="C149" s="8">
        <v>2167.2</v>
      </c>
      <c r="D149" s="7" t="s">
        <v>482</v>
      </c>
      <c r="E149" s="7" t="s">
        <v>483</v>
      </c>
      <c r="F149" s="8">
        <v>2167.2</v>
      </c>
      <c r="G149" s="4">
        <f>ABS(C149)-ABS(F149)</f>
        <v>0</v>
      </c>
      <c r="H149" s="7">
        <f>IF(ABS(G149)&lt;0.1,"OK","REVISAR")</f>
        <v>0</v>
      </c>
    </row>
    <row r="150" spans="1:8">
      <c r="A150" s="7" t="s">
        <v>484</v>
      </c>
      <c r="B150" s="7" t="s">
        <v>485</v>
      </c>
      <c r="C150" s="8">
        <v>2392</v>
      </c>
      <c r="D150" s="7" t="s">
        <v>486</v>
      </c>
      <c r="E150" s="7" t="s">
        <v>487</v>
      </c>
      <c r="F150" s="8">
        <v>2392</v>
      </c>
      <c r="G150" s="4">
        <f>ABS(C150)-ABS(F150)</f>
        <v>0</v>
      </c>
      <c r="H150" s="7">
        <f>IF(ABS(G150)&lt;0.1,"OK","REVISAR")</f>
        <v>0</v>
      </c>
    </row>
    <row r="151" spans="1:8">
      <c r="A151" s="7" t="s">
        <v>488</v>
      </c>
      <c r="B151" s="7" t="s">
        <v>489</v>
      </c>
      <c r="C151" s="8">
        <v>2167.2</v>
      </c>
      <c r="D151" s="7" t="s">
        <v>490</v>
      </c>
      <c r="E151" s="7" t="s">
        <v>491</v>
      </c>
      <c r="F151" s="8">
        <v>2167.2</v>
      </c>
      <c r="G151" s="4">
        <f>ABS(C151)-ABS(F151)</f>
        <v>0</v>
      </c>
      <c r="H151" s="7">
        <f>IF(ABS(G151)&lt;0.1,"OK","REVISAR")</f>
        <v>0</v>
      </c>
    </row>
    <row r="152" spans="1:8">
      <c r="A152" s="7" t="s">
        <v>492</v>
      </c>
      <c r="B152" s="7" t="s">
        <v>493</v>
      </c>
      <c r="C152" s="8">
        <v>16289.74</v>
      </c>
      <c r="D152" s="7" t="s">
        <v>494</v>
      </c>
      <c r="E152" s="7" t="s">
        <v>495</v>
      </c>
      <c r="F152" s="8">
        <v>16289.74</v>
      </c>
      <c r="G152" s="4">
        <f>ABS(C152)-ABS(F152)</f>
        <v>0</v>
      </c>
      <c r="H152" s="7">
        <f>IF(ABS(G152)&lt;0.1,"OK","REVISAR")</f>
        <v>0</v>
      </c>
    </row>
    <row r="153" spans="1:8">
      <c r="A153" s="7" t="s">
        <v>496</v>
      </c>
      <c r="B153" s="7" t="s">
        <v>497</v>
      </c>
      <c r="C153" s="8">
        <v>6033.62</v>
      </c>
      <c r="D153" s="7" t="s">
        <v>498</v>
      </c>
      <c r="E153" s="7" t="s">
        <v>499</v>
      </c>
      <c r="F153" s="8">
        <v>6033.62</v>
      </c>
      <c r="G153" s="4">
        <f>ABS(C153)-ABS(F153)</f>
        <v>0</v>
      </c>
      <c r="H153" s="7">
        <f>IF(ABS(G153)&lt;0.1,"OK","REVISAR")</f>
        <v>0</v>
      </c>
    </row>
    <row r="154" spans="1:8">
      <c r="A154" s="7" t="s">
        <v>500</v>
      </c>
      <c r="B154" s="7" t="s">
        <v>501</v>
      </c>
      <c r="C154" s="8">
        <v>13950.88</v>
      </c>
      <c r="D154" s="7" t="s">
        <v>502</v>
      </c>
      <c r="E154" s="7" t="s">
        <v>503</v>
      </c>
      <c r="F154" s="8">
        <v>13950.88</v>
      </c>
      <c r="G154" s="4">
        <f>ABS(C154)-ABS(F154)</f>
        <v>0</v>
      </c>
      <c r="H154" s="7">
        <f>IF(ABS(G154)&lt;0.1,"OK","REVISAR")</f>
        <v>0</v>
      </c>
    </row>
    <row r="155" spans="1:8">
      <c r="A155" s="7" t="s">
        <v>504</v>
      </c>
      <c r="B155" s="7" t="s">
        <v>505</v>
      </c>
      <c r="C155" s="8">
        <v>4301.72</v>
      </c>
      <c r="D155" s="7" t="s">
        <v>506</v>
      </c>
      <c r="E155" s="7" t="s">
        <v>507</v>
      </c>
      <c r="F155" s="8">
        <v>4301.72</v>
      </c>
      <c r="G155" s="4">
        <f>ABS(C155)-ABS(F155)</f>
        <v>0</v>
      </c>
      <c r="H155" s="7">
        <f>IF(ABS(G155)&lt;0.1,"OK","REVISAR")</f>
        <v>0</v>
      </c>
    </row>
    <row r="156" spans="1:8">
      <c r="A156" s="7" t="s">
        <v>508</v>
      </c>
      <c r="B156" s="7" t="s">
        <v>509</v>
      </c>
      <c r="C156" s="8">
        <v>6462.91</v>
      </c>
      <c r="D156" s="7" t="s">
        <v>510</v>
      </c>
      <c r="E156" s="7" t="s">
        <v>511</v>
      </c>
      <c r="F156" s="8">
        <v>6462.91</v>
      </c>
      <c r="G156" s="4">
        <f>ABS(C156)-ABS(F156)</f>
        <v>0</v>
      </c>
      <c r="H156" s="7">
        <f>IF(ABS(G156)&lt;0.1,"OK","REVISAR")</f>
        <v>0</v>
      </c>
    </row>
    <row r="157" spans="1:8">
      <c r="A157" s="7" t="s">
        <v>512</v>
      </c>
      <c r="B157" s="7" t="s">
        <v>513</v>
      </c>
      <c r="C157" s="8">
        <v>1723.27</v>
      </c>
      <c r="D157" s="7" t="s">
        <v>514</v>
      </c>
      <c r="E157" s="7" t="s">
        <v>515</v>
      </c>
      <c r="F157" s="8">
        <v>1723.27</v>
      </c>
      <c r="G157" s="4">
        <f>ABS(C157)-ABS(F157)</f>
        <v>0</v>
      </c>
      <c r="H157" s="7">
        <f>IF(ABS(G157)&lt;0.1,"OK","REVISAR")</f>
        <v>0</v>
      </c>
    </row>
    <row r="158" spans="1:8">
      <c r="A158" s="7" t="s">
        <v>516</v>
      </c>
      <c r="B158" s="7" t="s">
        <v>517</v>
      </c>
      <c r="C158" s="8">
        <v>7836.2</v>
      </c>
      <c r="D158" s="7" t="s">
        <v>518</v>
      </c>
      <c r="E158" s="7" t="s">
        <v>519</v>
      </c>
      <c r="F158" s="8">
        <v>7836.2</v>
      </c>
      <c r="G158" s="4">
        <f>ABS(C158)-ABS(F158)</f>
        <v>0</v>
      </c>
      <c r="H158" s="7">
        <f>IF(ABS(G158)&lt;0.1,"OK","REVISAR")</f>
        <v>0</v>
      </c>
    </row>
    <row r="159" spans="1:8">
      <c r="A159" s="7" t="s">
        <v>520</v>
      </c>
      <c r="B159" s="7" t="s">
        <v>521</v>
      </c>
      <c r="C159" s="8">
        <v>21065.98</v>
      </c>
      <c r="D159" s="7" t="s">
        <v>522</v>
      </c>
      <c r="E159" s="7" t="s">
        <v>523</v>
      </c>
      <c r="F159" s="8">
        <v>21065.98</v>
      </c>
      <c r="G159" s="4">
        <f>ABS(C159)-ABS(F159)</f>
        <v>0</v>
      </c>
      <c r="H159" s="7">
        <f>IF(ABS(G159)&lt;0.1,"OK","REVISAR")</f>
        <v>0</v>
      </c>
    </row>
    <row r="160" spans="1:8">
      <c r="A160" s="7" t="s">
        <v>524</v>
      </c>
      <c r="B160" s="7" t="s">
        <v>525</v>
      </c>
      <c r="C160" s="8">
        <v>5699.26</v>
      </c>
      <c r="D160" s="7" t="s">
        <v>526</v>
      </c>
      <c r="E160" s="7" t="s">
        <v>527</v>
      </c>
      <c r="F160" s="8">
        <v>3419.55</v>
      </c>
      <c r="G160" s="4">
        <f>ABS(C160)-ABS(F160)</f>
        <v>0</v>
      </c>
      <c r="H160" s="7">
        <f>IF(ABS(G160)&lt;0.1,"OK","REVISAR")</f>
        <v>0</v>
      </c>
    </row>
    <row r="161" spans="1:8">
      <c r="A161" s="7" t="s">
        <v>528</v>
      </c>
      <c r="B161" s="7" t="s">
        <v>529</v>
      </c>
      <c r="C161" s="8">
        <v>7404.39</v>
      </c>
      <c r="D161" s="7" t="s">
        <v>530</v>
      </c>
      <c r="E161" s="7" t="s">
        <v>531</v>
      </c>
      <c r="F161" s="8">
        <v>7404.39</v>
      </c>
      <c r="G161" s="4">
        <f>ABS(C161)-ABS(F161)</f>
        <v>0</v>
      </c>
      <c r="H161" s="7">
        <f>IF(ABS(G161)&lt;0.1,"OK","REVISAR")</f>
        <v>0</v>
      </c>
    </row>
    <row r="162" spans="1:8">
      <c r="A162" s="7" t="s">
        <v>532</v>
      </c>
      <c r="B162" s="7" t="s">
        <v>533</v>
      </c>
      <c r="C162" s="8">
        <v>7239.32</v>
      </c>
      <c r="D162" s="7" t="s">
        <v>534</v>
      </c>
      <c r="E162" s="7" t="s">
        <v>535</v>
      </c>
      <c r="F162" s="8">
        <v>7239.32</v>
      </c>
      <c r="G162" s="4">
        <f>ABS(C162)-ABS(F162)</f>
        <v>0</v>
      </c>
      <c r="H162" s="7">
        <f>IF(ABS(G162)&lt;0.1,"OK","REVISAR")</f>
        <v>0</v>
      </c>
    </row>
    <row r="163" spans="1:8">
      <c r="A163" s="7" t="s">
        <v>536</v>
      </c>
      <c r="B163" s="7" t="s">
        <v>537</v>
      </c>
      <c r="C163" s="8">
        <v>8619.83</v>
      </c>
      <c r="D163" s="7" t="s">
        <v>538</v>
      </c>
      <c r="E163" s="7" t="s">
        <v>539</v>
      </c>
      <c r="F163" s="8">
        <v>8619.83</v>
      </c>
      <c r="G163" s="4">
        <f>ABS(C163)-ABS(F163)</f>
        <v>0</v>
      </c>
      <c r="H163" s="7">
        <f>IF(ABS(G163)&lt;0.1,"OK","REVISAR")</f>
        <v>0</v>
      </c>
    </row>
    <row r="164" spans="1:8">
      <c r="A164" s="7" t="s">
        <v>540</v>
      </c>
      <c r="B164" s="7" t="s">
        <v>541</v>
      </c>
      <c r="C164" s="8">
        <v>5168.1</v>
      </c>
      <c r="D164" s="7" t="s">
        <v>542</v>
      </c>
      <c r="E164" s="7" t="s">
        <v>543</v>
      </c>
      <c r="F164" s="8">
        <v>5168.1</v>
      </c>
      <c r="G164" s="4">
        <f>ABS(C164)-ABS(F164)</f>
        <v>0</v>
      </c>
      <c r="H164" s="7">
        <f>IF(ABS(G164)&lt;0.1,"OK","REVISAR")</f>
        <v>0</v>
      </c>
    </row>
    <row r="165" spans="1:8">
      <c r="A165" s="7" t="s">
        <v>544</v>
      </c>
      <c r="B165" s="7" t="s">
        <v>545</v>
      </c>
      <c r="C165" s="8">
        <v>4196.6</v>
      </c>
      <c r="D165" s="7" t="s">
        <v>546</v>
      </c>
      <c r="E165" s="7" t="s">
        <v>547</v>
      </c>
      <c r="F165" s="8">
        <v>4196.6</v>
      </c>
      <c r="G165" s="4">
        <f>ABS(C165)-ABS(F165)</f>
        <v>0</v>
      </c>
      <c r="H165" s="7">
        <f>IF(ABS(G165)&lt;0.1,"OK","REVISAR")</f>
        <v>0</v>
      </c>
    </row>
    <row r="166" spans="1:8">
      <c r="A166" s="7" t="s">
        <v>548</v>
      </c>
      <c r="B166" s="7" t="s">
        <v>549</v>
      </c>
      <c r="C166" s="8">
        <v>1518.97</v>
      </c>
      <c r="D166" s="7" t="s">
        <v>550</v>
      </c>
      <c r="E166" s="7" t="s">
        <v>551</v>
      </c>
      <c r="F166" s="8">
        <v>1518.97</v>
      </c>
      <c r="G166" s="4">
        <f>ABS(C166)-ABS(F166)</f>
        <v>0</v>
      </c>
      <c r="H166" s="7">
        <f>IF(ABS(G166)&lt;0.1,"OK","REVISAR")</f>
        <v>0</v>
      </c>
    </row>
    <row r="167" spans="1:8">
      <c r="A167" s="7" t="s">
        <v>552</v>
      </c>
      <c r="B167" s="7" t="s">
        <v>553</v>
      </c>
      <c r="C167" s="8">
        <v>2344.96</v>
      </c>
      <c r="D167" s="7" t="s">
        <v>554</v>
      </c>
      <c r="E167" s="7" t="s">
        <v>555</v>
      </c>
      <c r="F167" s="8">
        <v>2344.96</v>
      </c>
      <c r="G167" s="4">
        <f>ABS(C167)-ABS(F167)</f>
        <v>0</v>
      </c>
      <c r="H167" s="7">
        <f>IF(ABS(G167)&lt;0.1,"OK","REVISAR")</f>
        <v>0</v>
      </c>
    </row>
    <row r="168" spans="1:8">
      <c r="A168" s="2" t="s">
        <v>556</v>
      </c>
      <c r="B168" s="2" t="s">
        <v>557</v>
      </c>
      <c r="C168" s="3">
        <v>306268.99</v>
      </c>
      <c r="D168" s="2" t="s">
        <v>558</v>
      </c>
      <c r="E168" s="2" t="s">
        <v>559</v>
      </c>
      <c r="F168" s="3">
        <v>306268.99</v>
      </c>
      <c r="G168" s="4">
        <f>ABS(C168)-ABS(F168)</f>
        <v>0</v>
      </c>
      <c r="H168" s="2">
        <f>IF(ABS(G168)&lt;0.1,"OK","REVISAR")</f>
        <v>0</v>
      </c>
    </row>
    <row r="169" spans="1:8">
      <c r="A169" s="5" t="s">
        <v>560</v>
      </c>
      <c r="B169" s="5" t="s">
        <v>557</v>
      </c>
      <c r="C169" s="6">
        <v>306268.99</v>
      </c>
      <c r="D169" s="5"/>
      <c r="E169" s="5"/>
      <c r="F169" s="5"/>
      <c r="G169" s="5"/>
      <c r="H169" s="5"/>
    </row>
    <row r="170" spans="1:8">
      <c r="A170" s="7" t="s">
        <v>561</v>
      </c>
      <c r="B170" s="7" t="s">
        <v>562</v>
      </c>
      <c r="C170" s="8">
        <v>7282.76</v>
      </c>
      <c r="D170" s="7" t="s">
        <v>563</v>
      </c>
      <c r="E170" s="7" t="s">
        <v>564</v>
      </c>
      <c r="F170" s="8">
        <v>7282.76</v>
      </c>
      <c r="G170" s="4">
        <f>ABS(C170)-ABS(F170)</f>
        <v>0</v>
      </c>
      <c r="H170" s="7">
        <f>IF(ABS(G170)&lt;0.1,"OK","REVISAR")</f>
        <v>0</v>
      </c>
    </row>
    <row r="171" spans="1:8">
      <c r="A171" s="7" t="s">
        <v>565</v>
      </c>
      <c r="B171" s="7" t="s">
        <v>566</v>
      </c>
      <c r="C171" s="8">
        <v>17155.18</v>
      </c>
      <c r="D171" s="7" t="s">
        <v>567</v>
      </c>
      <c r="E171" s="7" t="s">
        <v>568</v>
      </c>
      <c r="F171" s="8">
        <v>17155.18</v>
      </c>
      <c r="G171" s="4">
        <f>ABS(C171)-ABS(F171)</f>
        <v>0</v>
      </c>
      <c r="H171" s="7">
        <f>IF(ABS(G171)&lt;0.1,"OK","REVISAR")</f>
        <v>0</v>
      </c>
    </row>
    <row r="172" spans="1:8">
      <c r="A172" s="7" t="s">
        <v>569</v>
      </c>
      <c r="B172" s="7" t="s">
        <v>570</v>
      </c>
      <c r="C172" s="8">
        <v>9739.66</v>
      </c>
      <c r="D172" s="7" t="s">
        <v>571</v>
      </c>
      <c r="E172" s="7" t="s">
        <v>572</v>
      </c>
      <c r="F172" s="8">
        <v>9739.66</v>
      </c>
      <c r="G172" s="4">
        <f>ABS(C172)-ABS(F172)</f>
        <v>0</v>
      </c>
      <c r="H172" s="7">
        <f>IF(ABS(G172)&lt;0.1,"OK","REVISAR")</f>
        <v>0</v>
      </c>
    </row>
    <row r="173" spans="1:8">
      <c r="A173" s="7" t="s">
        <v>573</v>
      </c>
      <c r="B173" s="7" t="s">
        <v>574</v>
      </c>
      <c r="C173" s="8">
        <v>1680</v>
      </c>
      <c r="D173" s="7" t="s">
        <v>575</v>
      </c>
      <c r="E173" s="7" t="s">
        <v>576</v>
      </c>
      <c r="F173" s="8">
        <v>1680</v>
      </c>
      <c r="G173" s="4">
        <f>ABS(C173)-ABS(F173)</f>
        <v>0</v>
      </c>
      <c r="H173" s="7">
        <f>IF(ABS(G173)&lt;0.1,"OK","REVISAR")</f>
        <v>0</v>
      </c>
    </row>
    <row r="174" spans="1:8">
      <c r="A174" s="7" t="s">
        <v>577</v>
      </c>
      <c r="B174" s="7" t="s">
        <v>578</v>
      </c>
      <c r="C174" s="8">
        <v>5700</v>
      </c>
      <c r="D174" s="7" t="s">
        <v>579</v>
      </c>
      <c r="E174" s="7" t="s">
        <v>580</v>
      </c>
      <c r="F174" s="8">
        <v>5700</v>
      </c>
      <c r="G174" s="4">
        <f>ABS(C174)-ABS(F174)</f>
        <v>0</v>
      </c>
      <c r="H174" s="7">
        <f>IF(ABS(G174)&lt;0.1,"OK","REVISAR")</f>
        <v>0</v>
      </c>
    </row>
    <row r="175" spans="1:8">
      <c r="A175" s="7" t="s">
        <v>581</v>
      </c>
      <c r="B175" s="7" t="s">
        <v>582</v>
      </c>
      <c r="C175" s="8">
        <v>2585.19</v>
      </c>
      <c r="D175" s="7" t="s">
        <v>583</v>
      </c>
      <c r="E175" s="7" t="s">
        <v>584</v>
      </c>
      <c r="F175" s="8">
        <v>2585.19</v>
      </c>
      <c r="G175" s="4">
        <f>ABS(C175)-ABS(F175)</f>
        <v>0</v>
      </c>
      <c r="H175" s="7">
        <f>IF(ABS(G175)&lt;0.1,"OK","REVISAR")</f>
        <v>0</v>
      </c>
    </row>
    <row r="176" spans="1:8">
      <c r="A176" s="7" t="s">
        <v>585</v>
      </c>
      <c r="B176" s="7" t="s">
        <v>586</v>
      </c>
      <c r="C176" s="8">
        <v>13181.04</v>
      </c>
      <c r="D176" s="7" t="s">
        <v>587</v>
      </c>
      <c r="E176" s="7" t="s">
        <v>588</v>
      </c>
      <c r="F176" s="8">
        <v>13181.04</v>
      </c>
      <c r="G176" s="4">
        <f>ABS(C176)-ABS(F176)</f>
        <v>0</v>
      </c>
      <c r="H176" s="7">
        <f>IF(ABS(G176)&lt;0.1,"OK","REVISAR")</f>
        <v>0</v>
      </c>
    </row>
    <row r="177" spans="1:8">
      <c r="A177" s="7" t="s">
        <v>589</v>
      </c>
      <c r="B177" s="7" t="s">
        <v>590</v>
      </c>
      <c r="C177" s="8">
        <v>10805.44</v>
      </c>
      <c r="D177" s="7" t="s">
        <v>591</v>
      </c>
      <c r="E177" s="7" t="s">
        <v>592</v>
      </c>
      <c r="F177" s="8">
        <v>6841.64</v>
      </c>
      <c r="G177" s="4">
        <f>ABS(C177)-ABS(F177)</f>
        <v>0</v>
      </c>
      <c r="H177" s="7">
        <f>IF(ABS(G177)&lt;0.1,"OK","REVISAR")</f>
        <v>0</v>
      </c>
    </row>
    <row r="178" spans="1:8">
      <c r="A178" s="7" t="s">
        <v>593</v>
      </c>
      <c r="B178" s="7" t="s">
        <v>594</v>
      </c>
      <c r="C178" s="8">
        <v>35300.95</v>
      </c>
      <c r="D178" s="7" t="s">
        <v>595</v>
      </c>
      <c r="E178" s="7" t="s">
        <v>596</v>
      </c>
      <c r="F178" s="8">
        <v>35300.95</v>
      </c>
      <c r="G178" s="4">
        <f>ABS(C178)-ABS(F178)</f>
        <v>0</v>
      </c>
      <c r="H178" s="7">
        <f>IF(ABS(G178)&lt;0.1,"OK","REVISAR")</f>
        <v>0</v>
      </c>
    </row>
    <row r="179" spans="1:8">
      <c r="A179" s="5" t="s">
        <v>597</v>
      </c>
      <c r="B179" s="5" t="s">
        <v>598</v>
      </c>
      <c r="C179" s="6">
        <v>6052.28</v>
      </c>
      <c r="D179" s="5"/>
      <c r="E179" s="5"/>
      <c r="F179" s="5"/>
      <c r="G179" s="5"/>
      <c r="H179" s="5"/>
    </row>
    <row r="180" spans="1:8">
      <c r="A180" s="7" t="s">
        <v>599</v>
      </c>
      <c r="B180" s="7" t="s">
        <v>600</v>
      </c>
      <c r="C180" s="8">
        <v>2042.24</v>
      </c>
      <c r="D180" s="7" t="s">
        <v>601</v>
      </c>
      <c r="E180" s="7" t="s">
        <v>602</v>
      </c>
      <c r="F180" s="8">
        <v>2042.24</v>
      </c>
      <c r="G180" s="4">
        <f>ABS(C180)-ABS(F180)</f>
        <v>0</v>
      </c>
      <c r="H180" s="7">
        <f>IF(ABS(G180)&lt;0.1,"OK","REVISAR")</f>
        <v>0</v>
      </c>
    </row>
    <row r="181" spans="1:8">
      <c r="A181" s="7" t="s">
        <v>603</v>
      </c>
      <c r="B181" s="7" t="s">
        <v>604</v>
      </c>
      <c r="C181" s="8">
        <v>26454.53</v>
      </c>
      <c r="D181" s="7" t="s">
        <v>605</v>
      </c>
      <c r="E181" s="7" t="s">
        <v>606</v>
      </c>
      <c r="F181" s="8">
        <v>26454.53</v>
      </c>
      <c r="G181" s="4">
        <f>ABS(C181)-ABS(F181)</f>
        <v>0</v>
      </c>
      <c r="H181" s="7">
        <f>IF(ABS(G181)&lt;0.1,"OK","REVISAR")</f>
        <v>0</v>
      </c>
    </row>
    <row r="182" spans="1:8">
      <c r="A182" s="7" t="s">
        <v>607</v>
      </c>
      <c r="B182" s="7" t="s">
        <v>608</v>
      </c>
      <c r="C182" s="8">
        <v>1714.66</v>
      </c>
      <c r="D182" s="7" t="s">
        <v>609</v>
      </c>
      <c r="E182" s="7" t="s">
        <v>610</v>
      </c>
      <c r="F182" s="8">
        <v>1714.66</v>
      </c>
      <c r="G182" s="4">
        <f>ABS(C182)-ABS(F182)</f>
        <v>0</v>
      </c>
      <c r="H182" s="7">
        <f>IF(ABS(G182)&lt;0.1,"OK","REVISAR")</f>
        <v>0</v>
      </c>
    </row>
    <row r="183" spans="1:8">
      <c r="A183" s="7" t="s">
        <v>611</v>
      </c>
      <c r="B183" s="7" t="s">
        <v>612</v>
      </c>
      <c r="C183" s="8">
        <v>11895.69</v>
      </c>
      <c r="D183" s="7" t="s">
        <v>613</v>
      </c>
      <c r="E183" s="7" t="s">
        <v>614</v>
      </c>
      <c r="F183" s="8">
        <v>11895.69</v>
      </c>
      <c r="G183" s="4">
        <f>ABS(C183)-ABS(F183)</f>
        <v>0</v>
      </c>
      <c r="H183" s="7">
        <f>IF(ABS(G183)&lt;0.1,"OK","REVISAR")</f>
        <v>0</v>
      </c>
    </row>
    <row r="184" spans="1:8">
      <c r="A184" s="7" t="s">
        <v>615</v>
      </c>
      <c r="B184" s="7" t="s">
        <v>616</v>
      </c>
      <c r="C184" s="8">
        <v>18964.66</v>
      </c>
      <c r="D184" s="7" t="s">
        <v>617</v>
      </c>
      <c r="E184" s="7" t="s">
        <v>618</v>
      </c>
      <c r="F184" s="8">
        <v>18964.66</v>
      </c>
      <c r="G184" s="4">
        <f>ABS(C184)-ABS(F184)</f>
        <v>0</v>
      </c>
      <c r="H184" s="7">
        <f>IF(ABS(G184)&lt;0.1,"OK","REVISAR")</f>
        <v>0</v>
      </c>
    </row>
    <row r="185" spans="1:8">
      <c r="A185" s="7" t="s">
        <v>619</v>
      </c>
      <c r="B185" s="7" t="s">
        <v>620</v>
      </c>
      <c r="C185" s="8">
        <v>5299.14</v>
      </c>
      <c r="D185" s="7" t="s">
        <v>621</v>
      </c>
      <c r="E185" s="7" t="s">
        <v>622</v>
      </c>
      <c r="F185" s="8">
        <v>5299.14</v>
      </c>
      <c r="G185" s="4">
        <f>ABS(C185)-ABS(F185)</f>
        <v>0</v>
      </c>
      <c r="H185" s="7">
        <f>IF(ABS(G185)&lt;0.1,"OK","REVISAR")</f>
        <v>0</v>
      </c>
    </row>
    <row r="186" spans="1:8">
      <c r="A186" s="7" t="s">
        <v>623</v>
      </c>
      <c r="B186" s="7" t="s">
        <v>624</v>
      </c>
      <c r="C186" s="8">
        <v>6173.36</v>
      </c>
      <c r="D186" s="7" t="s">
        <v>625</v>
      </c>
      <c r="E186" s="7" t="s">
        <v>626</v>
      </c>
      <c r="F186" s="8">
        <v>6173.36</v>
      </c>
      <c r="G186" s="4">
        <f>ABS(C186)-ABS(F186)</f>
        <v>0</v>
      </c>
      <c r="H186" s="7">
        <f>IF(ABS(G186)&lt;0.1,"OK","REVISAR")</f>
        <v>0</v>
      </c>
    </row>
    <row r="187" spans="1:8">
      <c r="A187" s="7" t="s">
        <v>627</v>
      </c>
      <c r="B187" s="7" t="s">
        <v>628</v>
      </c>
      <c r="C187" s="8">
        <v>22106.69</v>
      </c>
      <c r="D187" s="7" t="s">
        <v>629</v>
      </c>
      <c r="E187" s="7" t="s">
        <v>630</v>
      </c>
      <c r="F187" s="8">
        <v>9503.969999999999</v>
      </c>
      <c r="G187" s="4">
        <f>ABS(C187)-ABS(F187)</f>
        <v>0</v>
      </c>
      <c r="H187" s="7">
        <f>IF(ABS(G187)&lt;0.1,"OK","REVISAR")</f>
        <v>0</v>
      </c>
    </row>
    <row r="188" spans="1:8">
      <c r="A188" s="7" t="s">
        <v>631</v>
      </c>
      <c r="B188" s="7" t="s">
        <v>632</v>
      </c>
      <c r="C188" s="8">
        <v>17240.52</v>
      </c>
      <c r="D188" s="7" t="s">
        <v>633</v>
      </c>
      <c r="E188" s="7" t="s">
        <v>634</v>
      </c>
      <c r="F188" s="8">
        <v>17240.52</v>
      </c>
      <c r="G188" s="4">
        <f>ABS(C188)-ABS(F188)</f>
        <v>0</v>
      </c>
      <c r="H188" s="7">
        <f>IF(ABS(G188)&lt;0.1,"OK","REVISAR")</f>
        <v>0</v>
      </c>
    </row>
    <row r="189" spans="1:8">
      <c r="A189" s="7" t="s">
        <v>635</v>
      </c>
      <c r="B189" s="7" t="s">
        <v>636</v>
      </c>
      <c r="C189" s="8">
        <v>8189.66</v>
      </c>
      <c r="D189" s="7" t="s">
        <v>637</v>
      </c>
      <c r="E189" s="7" t="s">
        <v>638</v>
      </c>
      <c r="F189" s="8">
        <v>8189.66</v>
      </c>
      <c r="G189" s="4">
        <f>ABS(C189)-ABS(F189)</f>
        <v>0</v>
      </c>
      <c r="H189" s="7">
        <f>IF(ABS(G189)&lt;0.1,"OK","REVISAR")</f>
        <v>0</v>
      </c>
    </row>
    <row r="190" spans="1:8">
      <c r="A190" s="7" t="s">
        <v>639</v>
      </c>
      <c r="B190" s="7" t="s">
        <v>640</v>
      </c>
      <c r="C190" s="8">
        <v>34220</v>
      </c>
      <c r="D190" s="7" t="s">
        <v>641</v>
      </c>
      <c r="E190" s="7" t="s">
        <v>642</v>
      </c>
      <c r="F190" s="8">
        <v>34220</v>
      </c>
      <c r="G190" s="4">
        <f>ABS(C190)-ABS(F190)</f>
        <v>0</v>
      </c>
      <c r="H190" s="7">
        <f>IF(ABS(G190)&lt;0.1,"OK","REVISAR")</f>
        <v>0</v>
      </c>
    </row>
    <row r="191" spans="1:8">
      <c r="A191" s="7" t="s">
        <v>643</v>
      </c>
      <c r="B191" s="7" t="s">
        <v>644</v>
      </c>
      <c r="C191" s="8">
        <v>42485.34</v>
      </c>
      <c r="D191" s="7" t="s">
        <v>645</v>
      </c>
      <c r="E191" s="7" t="s">
        <v>646</v>
      </c>
      <c r="F191" s="8">
        <v>42485.34</v>
      </c>
      <c r="G191" s="4">
        <f>ABS(C191)-ABS(F191)</f>
        <v>0</v>
      </c>
      <c r="H191" s="7">
        <f>IF(ABS(G191)&lt;0.1,"OK","REVISAR")</f>
        <v>0</v>
      </c>
    </row>
    <row r="192" spans="1:8">
      <c r="A192" s="2" t="s">
        <v>647</v>
      </c>
      <c r="B192" s="2" t="s">
        <v>648</v>
      </c>
      <c r="C192" s="3">
        <v>0</v>
      </c>
      <c r="D192" s="2" t="s">
        <v>649</v>
      </c>
      <c r="E192" s="2" t="s">
        <v>95</v>
      </c>
      <c r="F192" s="3">
        <v>0</v>
      </c>
      <c r="G192" s="4">
        <f>ABS(C192)-ABS(F192)</f>
        <v>0</v>
      </c>
      <c r="H192" s="2">
        <f>IF(ABS(G192)&lt;0.1,"OK","REVISAR")</f>
        <v>0</v>
      </c>
    </row>
    <row r="193" spans="1:8">
      <c r="A193" s="5" t="s">
        <v>650</v>
      </c>
      <c r="B193" s="5" t="s">
        <v>648</v>
      </c>
      <c r="C193" s="6">
        <v>0</v>
      </c>
      <c r="D193" s="5"/>
      <c r="E193" s="5"/>
      <c r="F193" s="5"/>
      <c r="G193" s="5"/>
      <c r="H193" s="5"/>
    </row>
    <row r="194" spans="1:8">
      <c r="A194" s="7" t="s">
        <v>651</v>
      </c>
      <c r="B194" s="7" t="s">
        <v>652</v>
      </c>
      <c r="C194" s="8">
        <v>0</v>
      </c>
      <c r="D194" s="7" t="s">
        <v>653</v>
      </c>
      <c r="E194" s="7" t="s">
        <v>95</v>
      </c>
      <c r="F194" s="8">
        <v>0</v>
      </c>
      <c r="G194" s="4">
        <f>ABS(C194)-ABS(F194)</f>
        <v>0</v>
      </c>
      <c r="H194" s="7">
        <f>IF(ABS(G194)&lt;0.1,"OK","REVISAR")</f>
        <v>0</v>
      </c>
    </row>
    <row r="195" spans="1:8">
      <c r="A195" s="2" t="s">
        <v>654</v>
      </c>
      <c r="B195" s="2" t="s">
        <v>655</v>
      </c>
      <c r="C195" s="3">
        <v>-3486918.98</v>
      </c>
      <c r="D195" s="2" t="s">
        <v>656</v>
      </c>
      <c r="E195" s="2" t="s">
        <v>657</v>
      </c>
      <c r="F195" s="3">
        <v>3486918.98</v>
      </c>
      <c r="G195" s="4">
        <f>ABS(C195)-ABS(F195)</f>
        <v>0</v>
      </c>
      <c r="H195" s="2">
        <f>IF(ABS(G195)&lt;0.1,"OK","REVISAR")</f>
        <v>0</v>
      </c>
    </row>
    <row r="196" spans="1:8">
      <c r="A196" s="5" t="s">
        <v>658</v>
      </c>
      <c r="B196" s="5" t="s">
        <v>659</v>
      </c>
      <c r="C196" s="6">
        <v>-3071268.34</v>
      </c>
      <c r="D196" s="5"/>
      <c r="E196" s="5"/>
      <c r="F196" s="5"/>
      <c r="G196" s="5"/>
      <c r="H196" s="5"/>
    </row>
    <row r="197" spans="1:8">
      <c r="A197" s="7" t="s">
        <v>660</v>
      </c>
      <c r="B197" s="7" t="s">
        <v>661</v>
      </c>
      <c r="C197" s="8">
        <v>-3071268.34</v>
      </c>
      <c r="D197" s="7" t="s">
        <v>662</v>
      </c>
      <c r="E197" s="7" t="s">
        <v>663</v>
      </c>
      <c r="F197" s="8">
        <v>3071268.34</v>
      </c>
      <c r="G197" s="4">
        <f>ABS(C197)-ABS(F197)</f>
        <v>0</v>
      </c>
      <c r="H197" s="7">
        <f>IF(ABS(G197)&lt;0.1,"OK","REVISAR")</f>
        <v>0</v>
      </c>
    </row>
    <row r="198" spans="1:8">
      <c r="A198" s="2" t="s">
        <v>664</v>
      </c>
      <c r="B198" s="2" t="s">
        <v>665</v>
      </c>
      <c r="C198" s="3">
        <v>-188554.79</v>
      </c>
      <c r="D198" s="2" t="s">
        <v>666</v>
      </c>
      <c r="E198" s="2" t="s">
        <v>667</v>
      </c>
      <c r="F198" s="3">
        <v>188554.79</v>
      </c>
      <c r="G198" s="4">
        <f>ABS(C198)-ABS(F198)</f>
        <v>0</v>
      </c>
      <c r="H198" s="2">
        <f>IF(ABS(G198)&lt;0.1,"OK","REVISAR")</f>
        <v>0</v>
      </c>
    </row>
    <row r="199" spans="1:8">
      <c r="A199" s="7" t="s">
        <v>668</v>
      </c>
      <c r="B199" s="7" t="s">
        <v>669</v>
      </c>
      <c r="C199" s="8">
        <v>-150000</v>
      </c>
      <c r="D199" s="7" t="s">
        <v>670</v>
      </c>
      <c r="E199" s="7" t="s">
        <v>455</v>
      </c>
      <c r="F199" s="8">
        <v>150000</v>
      </c>
      <c r="G199" s="4">
        <f>ABS(C199)-ABS(F199)</f>
        <v>0</v>
      </c>
      <c r="H199" s="7">
        <f>IF(ABS(G199)&lt;0.1,"OK","REVISAR")</f>
        <v>0</v>
      </c>
    </row>
    <row r="200" spans="1:8">
      <c r="A200" s="7" t="s">
        <v>671</v>
      </c>
      <c r="B200" s="7" t="s">
        <v>672</v>
      </c>
      <c r="C200" s="8">
        <v>-38554.79</v>
      </c>
      <c r="D200" s="7" t="s">
        <v>673</v>
      </c>
      <c r="E200" s="7" t="s">
        <v>674</v>
      </c>
      <c r="F200" s="8">
        <v>38554.79</v>
      </c>
      <c r="G200" s="4">
        <f>ABS(C200)-ABS(F200)</f>
        <v>0</v>
      </c>
      <c r="H200" s="7">
        <f>IF(ABS(G200)&lt;0.1,"OK","REVISAR")</f>
        <v>0</v>
      </c>
    </row>
    <row r="201" spans="1:8">
      <c r="A201" s="5" t="s">
        <v>675</v>
      </c>
      <c r="B201" s="5" t="s">
        <v>676</v>
      </c>
      <c r="C201" s="6">
        <v>-67326.78999999999</v>
      </c>
      <c r="D201" s="5"/>
      <c r="E201" s="5"/>
      <c r="F201" s="5"/>
      <c r="G201" s="5"/>
      <c r="H201" s="5"/>
    </row>
    <row r="202" spans="1:8">
      <c r="A202" s="7" t="s">
        <v>677</v>
      </c>
      <c r="B202" s="7" t="s">
        <v>678</v>
      </c>
      <c r="C202" s="8">
        <v>0</v>
      </c>
      <c r="D202" s="7" t="s">
        <v>679</v>
      </c>
      <c r="E202" s="7" t="s">
        <v>680</v>
      </c>
      <c r="F202" s="8">
        <v>67326.78999999999</v>
      </c>
      <c r="G202" s="4">
        <f>ABS(C202)-ABS(F202)</f>
        <v>0</v>
      </c>
      <c r="H202" s="7">
        <f>IF(ABS(G202)&lt;0.1,"OK","REVISAR")</f>
        <v>0</v>
      </c>
    </row>
    <row r="203" spans="1:8">
      <c r="A203" s="7" t="s">
        <v>681</v>
      </c>
      <c r="B203" s="7" t="s">
        <v>682</v>
      </c>
      <c r="C203" s="8">
        <v>-4292.63</v>
      </c>
      <c r="D203" s="7" t="s">
        <v>683</v>
      </c>
      <c r="E203" s="7" t="s">
        <v>471</v>
      </c>
      <c r="F203" s="8">
        <v>4292.63</v>
      </c>
      <c r="G203" s="4">
        <f>ABS(C203)-ABS(F203)</f>
        <v>0</v>
      </c>
      <c r="H203" s="7">
        <f>IF(ABS(G203)&lt;0.1,"OK","REVISAR")</f>
        <v>0</v>
      </c>
    </row>
    <row r="204" spans="1:8">
      <c r="A204" s="7" t="s">
        <v>684</v>
      </c>
      <c r="B204" s="7" t="s">
        <v>685</v>
      </c>
      <c r="C204" s="8">
        <v>-1996.66</v>
      </c>
      <c r="D204" s="7" t="s">
        <v>686</v>
      </c>
      <c r="E204" s="7" t="s">
        <v>475</v>
      </c>
      <c r="F204" s="8">
        <v>1996.66</v>
      </c>
      <c r="G204" s="4">
        <f>ABS(C204)-ABS(F204)</f>
        <v>0</v>
      </c>
      <c r="H204" s="7">
        <f>IF(ABS(G204)&lt;0.1,"OK","REVISAR")</f>
        <v>0</v>
      </c>
    </row>
    <row r="205" spans="1:8">
      <c r="A205" s="7" t="s">
        <v>687</v>
      </c>
      <c r="B205" s="7" t="s">
        <v>688</v>
      </c>
      <c r="C205" s="8">
        <v>-4592.5</v>
      </c>
      <c r="D205" s="7" t="s">
        <v>689</v>
      </c>
      <c r="E205" s="7" t="s">
        <v>479</v>
      </c>
      <c r="F205" s="8">
        <v>4592.5</v>
      </c>
      <c r="G205" s="4">
        <f>ABS(C205)-ABS(F205)</f>
        <v>0</v>
      </c>
      <c r="H205" s="7">
        <f>IF(ABS(G205)&lt;0.1,"OK","REVISAR")</f>
        <v>0</v>
      </c>
    </row>
    <row r="206" spans="1:8">
      <c r="A206" s="7" t="s">
        <v>690</v>
      </c>
      <c r="B206" s="7" t="s">
        <v>691</v>
      </c>
      <c r="C206" s="8">
        <v>-1550.29</v>
      </c>
      <c r="D206" s="7" t="s">
        <v>692</v>
      </c>
      <c r="E206" s="7" t="s">
        <v>483</v>
      </c>
      <c r="F206" s="8">
        <v>1550.29</v>
      </c>
      <c r="G206" s="4">
        <f>ABS(C206)-ABS(F206)</f>
        <v>0</v>
      </c>
      <c r="H206" s="7">
        <f>IF(ABS(G206)&lt;0.1,"OK","REVISAR")</f>
        <v>0</v>
      </c>
    </row>
    <row r="207" spans="1:8">
      <c r="A207" s="7" t="s">
        <v>693</v>
      </c>
      <c r="B207" s="7" t="s">
        <v>694</v>
      </c>
      <c r="C207" s="8">
        <v>-1711.1</v>
      </c>
      <c r="D207" s="7" t="s">
        <v>695</v>
      </c>
      <c r="E207" s="7" t="s">
        <v>487</v>
      </c>
      <c r="F207" s="8">
        <v>1711.1</v>
      </c>
      <c r="G207" s="4">
        <f>ABS(C207)-ABS(F207)</f>
        <v>0</v>
      </c>
      <c r="H207" s="7">
        <f>IF(ABS(G207)&lt;0.1,"OK","REVISAR")</f>
        <v>0</v>
      </c>
    </row>
    <row r="208" spans="1:8">
      <c r="A208" s="7" t="s">
        <v>696</v>
      </c>
      <c r="B208" s="7" t="s">
        <v>697</v>
      </c>
      <c r="C208" s="8">
        <v>-1550.29</v>
      </c>
      <c r="D208" s="7" t="s">
        <v>698</v>
      </c>
      <c r="E208" s="7" t="s">
        <v>491</v>
      </c>
      <c r="F208" s="8">
        <v>1550.29</v>
      </c>
      <c r="G208" s="4">
        <f>ABS(C208)-ABS(F208)</f>
        <v>0</v>
      </c>
      <c r="H208" s="7">
        <f>IF(ABS(G208)&lt;0.1,"OK","REVISAR")</f>
        <v>0</v>
      </c>
    </row>
    <row r="209" spans="1:8">
      <c r="A209" s="7" t="s">
        <v>699</v>
      </c>
      <c r="B209" s="7" t="s">
        <v>700</v>
      </c>
      <c r="C209" s="8">
        <v>-10836</v>
      </c>
      <c r="D209" s="7" t="s">
        <v>701</v>
      </c>
      <c r="E209" s="7" t="s">
        <v>495</v>
      </c>
      <c r="F209" s="8">
        <v>10836</v>
      </c>
      <c r="G209" s="4">
        <f>ABS(C209)-ABS(F209)</f>
        <v>0</v>
      </c>
      <c r="H209" s="7">
        <f>IF(ABS(G209)&lt;0.1,"OK","REVISAR")</f>
        <v>0</v>
      </c>
    </row>
    <row r="210" spans="1:8">
      <c r="A210" s="7" t="s">
        <v>702</v>
      </c>
      <c r="B210" s="7" t="s">
        <v>703</v>
      </c>
      <c r="C210" s="8">
        <v>-4013.59</v>
      </c>
      <c r="D210" s="7" t="s">
        <v>704</v>
      </c>
      <c r="E210" s="7" t="s">
        <v>499</v>
      </c>
      <c r="F210" s="8">
        <v>4013.59</v>
      </c>
      <c r="G210" s="4">
        <f>ABS(C210)-ABS(F210)</f>
        <v>0</v>
      </c>
      <c r="H210" s="7">
        <f>IF(ABS(G210)&lt;0.1,"OK","REVISAR")</f>
        <v>0</v>
      </c>
    </row>
    <row r="211" spans="1:8">
      <c r="A211" s="7" t="s">
        <v>705</v>
      </c>
      <c r="B211" s="7" t="s">
        <v>706</v>
      </c>
      <c r="C211" s="8">
        <v>-8836.85</v>
      </c>
      <c r="D211" s="7" t="s">
        <v>707</v>
      </c>
      <c r="E211" s="7" t="s">
        <v>503</v>
      </c>
      <c r="F211" s="8">
        <v>8836.85</v>
      </c>
      <c r="G211" s="4">
        <f>ABS(C211)-ABS(F211)</f>
        <v>0</v>
      </c>
      <c r="H211" s="7">
        <f>IF(ABS(G211)&lt;0.1,"OK","REVISAR")</f>
        <v>0</v>
      </c>
    </row>
    <row r="212" spans="1:8">
      <c r="A212" s="7" t="s">
        <v>708</v>
      </c>
      <c r="B212" s="7" t="s">
        <v>709</v>
      </c>
      <c r="C212" s="8">
        <v>-2150.85</v>
      </c>
      <c r="D212" s="7" t="s">
        <v>710</v>
      </c>
      <c r="E212" s="7" t="s">
        <v>711</v>
      </c>
      <c r="F212" s="8">
        <v>2150.85</v>
      </c>
      <c r="G212" s="4">
        <f>ABS(C212)-ABS(F212)</f>
        <v>0</v>
      </c>
      <c r="H212" s="7">
        <f>IF(ABS(G212)&lt;0.1,"OK","REVISAR")</f>
        <v>0</v>
      </c>
    </row>
    <row r="213" spans="1:8">
      <c r="A213" s="7" t="s">
        <v>712</v>
      </c>
      <c r="B213" s="7" t="s">
        <v>713</v>
      </c>
      <c r="C213" s="8">
        <v>-4024.86</v>
      </c>
      <c r="D213" s="7" t="s">
        <v>714</v>
      </c>
      <c r="E213" s="7" t="s">
        <v>715</v>
      </c>
      <c r="F213" s="8">
        <v>4024.86</v>
      </c>
      <c r="G213" s="4">
        <f>ABS(C213)-ABS(F213)</f>
        <v>0</v>
      </c>
      <c r="H213" s="7">
        <f>IF(ABS(G213)&lt;0.1,"OK","REVISAR")</f>
        <v>0</v>
      </c>
    </row>
    <row r="214" spans="1:8">
      <c r="A214" s="7" t="s">
        <v>716</v>
      </c>
      <c r="B214" s="7" t="s">
        <v>717</v>
      </c>
      <c r="C214" s="8">
        <v>-3852.8</v>
      </c>
      <c r="D214" s="7" t="s">
        <v>718</v>
      </c>
      <c r="E214" s="7" t="s">
        <v>719</v>
      </c>
      <c r="F214" s="8">
        <v>3852.8</v>
      </c>
      <c r="G214" s="4">
        <f>ABS(C214)-ABS(F214)</f>
        <v>0</v>
      </c>
      <c r="H214" s="7">
        <f>IF(ABS(G214)&lt;0.1,"OK","REVISAR")</f>
        <v>0</v>
      </c>
    </row>
    <row r="215" spans="1:8">
      <c r="A215" s="7" t="s">
        <v>720</v>
      </c>
      <c r="B215" s="7" t="s">
        <v>721</v>
      </c>
      <c r="C215" s="8">
        <v>-10181.54</v>
      </c>
      <c r="D215" s="7" t="s">
        <v>722</v>
      </c>
      <c r="E215" s="7" t="s">
        <v>723</v>
      </c>
      <c r="F215" s="8">
        <v>10181.54</v>
      </c>
      <c r="G215" s="4">
        <f>ABS(C215)-ABS(F215)</f>
        <v>0</v>
      </c>
      <c r="H215" s="7">
        <f>IF(ABS(G215)&lt;0.1,"OK","REVISAR")</f>
        <v>0</v>
      </c>
    </row>
    <row r="216" spans="1:8">
      <c r="A216" s="7" t="s">
        <v>724</v>
      </c>
      <c r="B216" s="7" t="s">
        <v>725</v>
      </c>
      <c r="C216" s="8">
        <v>-1163.88</v>
      </c>
      <c r="D216" s="7" t="s">
        <v>726</v>
      </c>
      <c r="E216" s="7" t="s">
        <v>551</v>
      </c>
      <c r="F216" s="8">
        <v>1163.88</v>
      </c>
      <c r="G216" s="4">
        <f>ABS(C216)-ABS(F216)</f>
        <v>0</v>
      </c>
      <c r="H216" s="7">
        <f>IF(ABS(G216)&lt;0.1,"OK","REVISAR")</f>
        <v>0</v>
      </c>
    </row>
    <row r="217" spans="1:8">
      <c r="A217" s="7" t="s">
        <v>727</v>
      </c>
      <c r="B217" s="7" t="s">
        <v>728</v>
      </c>
      <c r="C217" s="8">
        <v>-1673.6</v>
      </c>
      <c r="D217" s="7" t="s">
        <v>729</v>
      </c>
      <c r="E217" s="7" t="s">
        <v>730</v>
      </c>
      <c r="F217" s="8">
        <v>1673.6</v>
      </c>
      <c r="G217" s="4">
        <f>ABS(C217)-ABS(F217)</f>
        <v>0</v>
      </c>
      <c r="H217" s="7">
        <f>IF(ABS(G217)&lt;0.1,"OK","REVISAR")</f>
        <v>0</v>
      </c>
    </row>
    <row r="218" spans="1:8">
      <c r="A218" s="7" t="s">
        <v>731</v>
      </c>
      <c r="B218" s="7" t="s">
        <v>732</v>
      </c>
      <c r="C218" s="8">
        <v>-945.1</v>
      </c>
      <c r="D218" s="7" t="s">
        <v>733</v>
      </c>
      <c r="E218" s="7" t="s">
        <v>734</v>
      </c>
      <c r="F218" s="8">
        <v>945.1</v>
      </c>
      <c r="G218" s="4">
        <f>ABS(C218)-ABS(F218)</f>
        <v>0</v>
      </c>
      <c r="H218" s="7">
        <f>IF(ABS(G218)&lt;0.1,"OK","REVISAR")</f>
        <v>0</v>
      </c>
    </row>
    <row r="219" spans="1:8">
      <c r="A219" s="7" t="s">
        <v>735</v>
      </c>
      <c r="B219" s="7" t="s">
        <v>736</v>
      </c>
      <c r="C219" s="8">
        <v>-2012.07</v>
      </c>
      <c r="D219" s="7" t="s">
        <v>737</v>
      </c>
      <c r="E219" s="7" t="s">
        <v>738</v>
      </c>
      <c r="F219" s="8">
        <v>2012.07</v>
      </c>
      <c r="G219" s="4">
        <f>ABS(C219)-ABS(F219)</f>
        <v>0</v>
      </c>
      <c r="H219" s="7">
        <f>IF(ABS(G219)&lt;0.1,"OK","REVISAR")</f>
        <v>0</v>
      </c>
    </row>
    <row r="220" spans="1:8">
      <c r="A220" s="7" t="s">
        <v>739</v>
      </c>
      <c r="B220" s="7" t="s">
        <v>740</v>
      </c>
      <c r="C220" s="8">
        <v>-303.8</v>
      </c>
      <c r="D220" s="7" t="s">
        <v>741</v>
      </c>
      <c r="E220" s="7" t="s">
        <v>742</v>
      </c>
      <c r="F220" s="8">
        <v>303.8</v>
      </c>
      <c r="G220" s="4">
        <f>ABS(C220)-ABS(F220)</f>
        <v>0</v>
      </c>
      <c r="H220" s="7">
        <f>IF(ABS(G220)&lt;0.1,"OK","REVISAR")</f>
        <v>0</v>
      </c>
    </row>
    <row r="221" spans="1:8">
      <c r="A221" s="7" t="s">
        <v>743</v>
      </c>
      <c r="B221" s="7" t="s">
        <v>744</v>
      </c>
      <c r="C221" s="8">
        <v>-1447.86</v>
      </c>
      <c r="D221" s="7" t="s">
        <v>745</v>
      </c>
      <c r="E221" s="7" t="s">
        <v>746</v>
      </c>
      <c r="F221" s="8">
        <v>1447.86</v>
      </c>
      <c r="G221" s="4">
        <f>ABS(C221)-ABS(F221)</f>
        <v>0</v>
      </c>
      <c r="H221" s="7">
        <f>IF(ABS(G221)&lt;0.1,"OK","REVISAR")</f>
        <v>0</v>
      </c>
    </row>
    <row r="222" spans="1:8">
      <c r="A222" s="7" t="s">
        <v>747</v>
      </c>
      <c r="B222" s="7" t="s">
        <v>748</v>
      </c>
      <c r="C222" s="8">
        <v>-170.98</v>
      </c>
      <c r="D222" s="7" t="s">
        <v>749</v>
      </c>
      <c r="E222" s="7" t="s">
        <v>527</v>
      </c>
      <c r="F222" s="8">
        <v>170.98</v>
      </c>
      <c r="G222" s="4">
        <f>ABS(C222)-ABS(F222)</f>
        <v>0</v>
      </c>
      <c r="H222" s="7">
        <f>IF(ABS(G222)&lt;0.1,"OK","REVISAR")</f>
        <v>0</v>
      </c>
    </row>
    <row r="223" spans="1:8">
      <c r="A223" s="7" t="s">
        <v>750</v>
      </c>
      <c r="B223" s="7" t="s">
        <v>751</v>
      </c>
      <c r="C223" s="8">
        <v>-19.54</v>
      </c>
      <c r="D223" s="7" t="s">
        <v>752</v>
      </c>
      <c r="E223" s="7" t="s">
        <v>555</v>
      </c>
      <c r="F223" s="8">
        <v>19.54</v>
      </c>
      <c r="G223" s="4">
        <f>ABS(C223)-ABS(F223)</f>
        <v>0</v>
      </c>
      <c r="H223" s="7">
        <f>IF(ABS(G223)&lt;0.1,"OK","REVISAR")</f>
        <v>0</v>
      </c>
    </row>
    <row r="224" spans="1:8">
      <c r="A224" s="5" t="s">
        <v>753</v>
      </c>
      <c r="B224" s="5" t="s">
        <v>754</v>
      </c>
      <c r="C224" s="6">
        <v>-159769.06</v>
      </c>
      <c r="D224" s="5"/>
      <c r="E224" s="5"/>
      <c r="F224" s="5"/>
      <c r="G224" s="5"/>
      <c r="H224" s="5"/>
    </row>
    <row r="225" spans="1:8">
      <c r="A225" s="5" t="s">
        <v>755</v>
      </c>
      <c r="B225" s="5" t="s">
        <v>756</v>
      </c>
      <c r="C225" s="6">
        <v>0</v>
      </c>
      <c r="D225" s="5"/>
      <c r="E225" s="5"/>
      <c r="F225" s="5"/>
      <c r="G225" s="5"/>
      <c r="H225" s="5"/>
    </row>
    <row r="226" spans="1:8">
      <c r="A226" s="7" t="s">
        <v>757</v>
      </c>
      <c r="B226" s="7" t="s">
        <v>758</v>
      </c>
      <c r="C226" s="8">
        <v>-17155.17</v>
      </c>
      <c r="D226" s="7" t="s">
        <v>759</v>
      </c>
      <c r="E226" s="7" t="s">
        <v>568</v>
      </c>
      <c r="F226" s="8">
        <v>17155.17</v>
      </c>
      <c r="G226" s="4">
        <f>ABS(C226)-ABS(F226)</f>
        <v>0</v>
      </c>
      <c r="H226" s="7">
        <f>IF(ABS(G226)&lt;0.1,"OK","REVISAR")</f>
        <v>0</v>
      </c>
    </row>
    <row r="227" spans="1:8">
      <c r="A227" s="7" t="s">
        <v>760</v>
      </c>
      <c r="B227" s="7" t="s">
        <v>761</v>
      </c>
      <c r="C227" s="8">
        <v>-9739.66</v>
      </c>
      <c r="D227" s="7" t="s">
        <v>762</v>
      </c>
      <c r="E227" s="7" t="s">
        <v>572</v>
      </c>
      <c r="F227" s="8">
        <v>9739.66</v>
      </c>
      <c r="G227" s="4">
        <f>ABS(C227)-ABS(F227)</f>
        <v>0</v>
      </c>
      <c r="H227" s="7">
        <f>IF(ABS(G227)&lt;0.1,"OK","REVISAR")</f>
        <v>0</v>
      </c>
    </row>
    <row r="228" spans="1:8">
      <c r="A228" s="7" t="s">
        <v>763</v>
      </c>
      <c r="B228" s="7" t="s">
        <v>764</v>
      </c>
      <c r="C228" s="8">
        <v>-1680</v>
      </c>
      <c r="D228" s="7" t="s">
        <v>765</v>
      </c>
      <c r="E228" s="7" t="s">
        <v>576</v>
      </c>
      <c r="F228" s="8">
        <v>1680</v>
      </c>
      <c r="G228" s="4">
        <f>ABS(C228)-ABS(F228)</f>
        <v>0</v>
      </c>
      <c r="H228" s="7">
        <f>IF(ABS(G228)&lt;0.1,"OK","REVISAR")</f>
        <v>0</v>
      </c>
    </row>
    <row r="229" spans="1:8">
      <c r="A229" s="7" t="s">
        <v>766</v>
      </c>
      <c r="B229" s="7" t="s">
        <v>767</v>
      </c>
      <c r="C229" s="8">
        <v>-5700</v>
      </c>
      <c r="D229" s="7" t="s">
        <v>768</v>
      </c>
      <c r="E229" s="7" t="s">
        <v>580</v>
      </c>
      <c r="F229" s="8">
        <v>5700</v>
      </c>
      <c r="G229" s="4">
        <f>ABS(C229)-ABS(F229)</f>
        <v>0</v>
      </c>
      <c r="H229" s="7">
        <f>IF(ABS(G229)&lt;0.1,"OK","REVISAR")</f>
        <v>0</v>
      </c>
    </row>
    <row r="230" spans="1:8">
      <c r="A230" s="7" t="s">
        <v>769</v>
      </c>
      <c r="B230" s="7" t="s">
        <v>770</v>
      </c>
      <c r="C230" s="8">
        <v>-2585.2</v>
      </c>
      <c r="D230" s="7" t="s">
        <v>771</v>
      </c>
      <c r="E230" s="7" t="s">
        <v>584</v>
      </c>
      <c r="F230" s="8">
        <v>2585.2</v>
      </c>
      <c r="G230" s="4">
        <f>ABS(C230)-ABS(F230)</f>
        <v>0</v>
      </c>
      <c r="H230" s="7">
        <f>IF(ABS(G230)&lt;0.1,"OK","REVISAR")</f>
        <v>0</v>
      </c>
    </row>
    <row r="231" spans="1:8">
      <c r="A231" s="7" t="s">
        <v>772</v>
      </c>
      <c r="B231" s="7" t="s">
        <v>773</v>
      </c>
      <c r="C231" s="8">
        <v>-3974.35</v>
      </c>
      <c r="D231" s="7" t="s">
        <v>774</v>
      </c>
      <c r="E231" s="7" t="s">
        <v>775</v>
      </c>
      <c r="F231" s="8">
        <v>3974.35</v>
      </c>
      <c r="G231" s="4">
        <f>ABS(C231)-ABS(F231)</f>
        <v>0</v>
      </c>
      <c r="H231" s="7">
        <f>IF(ABS(G231)&lt;0.1,"OK","REVISAR")</f>
        <v>0</v>
      </c>
    </row>
    <row r="232" spans="1:8">
      <c r="A232" s="7" t="s">
        <v>776</v>
      </c>
      <c r="B232" s="7" t="s">
        <v>777</v>
      </c>
      <c r="C232" s="8">
        <v>-24720.35</v>
      </c>
      <c r="D232" s="7" t="s">
        <v>778</v>
      </c>
      <c r="E232" s="7" t="s">
        <v>779</v>
      </c>
      <c r="F232" s="8">
        <v>24720.35</v>
      </c>
      <c r="G232" s="4">
        <f>ABS(C232)-ABS(F232)</f>
        <v>0</v>
      </c>
      <c r="H232" s="7">
        <f>IF(ABS(G232)&lt;0.1,"OK","REVISAR")</f>
        <v>0</v>
      </c>
    </row>
    <row r="233" spans="1:8">
      <c r="A233" s="7" t="s">
        <v>780</v>
      </c>
      <c r="B233" s="7" t="s">
        <v>781</v>
      </c>
      <c r="C233" s="8">
        <v>-11378.8</v>
      </c>
      <c r="D233" s="7" t="s">
        <v>782</v>
      </c>
      <c r="E233" s="7" t="s">
        <v>618</v>
      </c>
      <c r="F233" s="8">
        <v>11378.8</v>
      </c>
      <c r="G233" s="4">
        <f>ABS(C233)-ABS(F233)</f>
        <v>0</v>
      </c>
      <c r="H233" s="7">
        <f>IF(ABS(G233)&lt;0.1,"OK","REVISAR")</f>
        <v>0</v>
      </c>
    </row>
    <row r="234" spans="1:8">
      <c r="A234" s="7" t="s">
        <v>783</v>
      </c>
      <c r="B234" s="7" t="s">
        <v>784</v>
      </c>
      <c r="C234" s="8">
        <v>-13181.04</v>
      </c>
      <c r="D234" s="7" t="s">
        <v>785</v>
      </c>
      <c r="E234" s="7" t="s">
        <v>786</v>
      </c>
      <c r="F234" s="8">
        <v>13181.04</v>
      </c>
      <c r="G234" s="4">
        <f>ABS(C234)-ABS(F234)</f>
        <v>0</v>
      </c>
      <c r="H234" s="7">
        <f>IF(ABS(G234)&lt;0.1,"OK","REVISAR")</f>
        <v>0</v>
      </c>
    </row>
    <row r="235" spans="1:8">
      <c r="A235" s="7" t="s">
        <v>787</v>
      </c>
      <c r="B235" s="7" t="s">
        <v>788</v>
      </c>
      <c r="C235" s="8">
        <v>-26454.53</v>
      </c>
      <c r="D235" s="7" t="s">
        <v>789</v>
      </c>
      <c r="E235" s="7" t="s">
        <v>790</v>
      </c>
      <c r="F235" s="8">
        <v>26454.53</v>
      </c>
      <c r="G235" s="4">
        <f>ABS(C235)-ABS(F235)</f>
        <v>0</v>
      </c>
      <c r="H235" s="7">
        <f>IF(ABS(G235)&lt;0.1,"OK","REVISAR")</f>
        <v>0</v>
      </c>
    </row>
    <row r="236" spans="1:8">
      <c r="A236" s="7" t="s">
        <v>791</v>
      </c>
      <c r="B236" s="7" t="s">
        <v>792</v>
      </c>
      <c r="C236" s="8">
        <v>-6052.27</v>
      </c>
      <c r="D236" s="7" t="s">
        <v>793</v>
      </c>
      <c r="E236" s="7" t="s">
        <v>794</v>
      </c>
      <c r="F236" s="8">
        <v>6052.27</v>
      </c>
      <c r="G236" s="4">
        <f>ABS(C236)-ABS(F236)</f>
        <v>0</v>
      </c>
      <c r="H236" s="7">
        <f>IF(ABS(G236)&lt;0.1,"OK","REVISAR")</f>
        <v>0</v>
      </c>
    </row>
    <row r="237" spans="1:8">
      <c r="A237" s="7" t="s">
        <v>795</v>
      </c>
      <c r="B237" s="7" t="s">
        <v>796</v>
      </c>
      <c r="C237" s="8">
        <v>-4104.98</v>
      </c>
      <c r="D237" s="7" t="s">
        <v>797</v>
      </c>
      <c r="E237" s="7" t="s">
        <v>798</v>
      </c>
      <c r="F237" s="8">
        <v>4104.98</v>
      </c>
      <c r="G237" s="4">
        <f>ABS(C237)-ABS(F237)</f>
        <v>0</v>
      </c>
      <c r="H237" s="7">
        <f>IF(ABS(G237)&lt;0.1,"OK","REVISAR")</f>
        <v>0</v>
      </c>
    </row>
    <row r="238" spans="1:8">
      <c r="A238" s="7" t="s">
        <v>799</v>
      </c>
      <c r="B238" s="7" t="s">
        <v>800</v>
      </c>
      <c r="C238" s="8">
        <v>-1225.34</v>
      </c>
      <c r="D238" s="7" t="s">
        <v>801</v>
      </c>
      <c r="E238" s="7" t="s">
        <v>802</v>
      </c>
      <c r="F238" s="8">
        <v>1225.34</v>
      </c>
      <c r="G238" s="4">
        <f>ABS(C238)-ABS(F238)</f>
        <v>0</v>
      </c>
      <c r="H238" s="7">
        <f>IF(ABS(G238)&lt;0.1,"OK","REVISAR")</f>
        <v>0</v>
      </c>
    </row>
    <row r="239" spans="1:8">
      <c r="A239" s="7" t="s">
        <v>803</v>
      </c>
      <c r="B239" s="7" t="s">
        <v>804</v>
      </c>
      <c r="C239" s="8">
        <v>-7137.42</v>
      </c>
      <c r="D239" s="7" t="s">
        <v>805</v>
      </c>
      <c r="E239" s="7" t="s">
        <v>806</v>
      </c>
      <c r="F239" s="8">
        <v>7137.42</v>
      </c>
      <c r="G239" s="4">
        <f>ABS(C239)-ABS(F239)</f>
        <v>0</v>
      </c>
      <c r="H239" s="7">
        <f>IF(ABS(G239)&lt;0.1,"OK","REVISAR")</f>
        <v>0</v>
      </c>
    </row>
    <row r="240" spans="1:8">
      <c r="A240" s="7" t="s">
        <v>807</v>
      </c>
      <c r="B240" s="7" t="s">
        <v>808</v>
      </c>
      <c r="C240" s="8">
        <v>-1028.8</v>
      </c>
      <c r="D240" s="7" t="s">
        <v>809</v>
      </c>
      <c r="E240" s="7" t="s">
        <v>810</v>
      </c>
      <c r="F240" s="8">
        <v>1028.8</v>
      </c>
      <c r="G240" s="4">
        <f>ABS(C240)-ABS(F240)</f>
        <v>0</v>
      </c>
      <c r="H240" s="7">
        <f>IF(ABS(G240)&lt;0.1,"OK","REVISAR")</f>
        <v>0</v>
      </c>
    </row>
    <row r="241" spans="1:8">
      <c r="A241" s="7" t="s">
        <v>811</v>
      </c>
      <c r="B241" s="7" t="s">
        <v>812</v>
      </c>
      <c r="C241" s="8">
        <v>-3704.02</v>
      </c>
      <c r="D241" s="7" t="s">
        <v>813</v>
      </c>
      <c r="E241" s="7" t="s">
        <v>814</v>
      </c>
      <c r="F241" s="8">
        <v>3704.02</v>
      </c>
      <c r="G241" s="4">
        <f>ABS(C241)-ABS(F241)</f>
        <v>0</v>
      </c>
      <c r="H241" s="7">
        <f>IF(ABS(G241)&lt;0.1,"OK","REVISAR")</f>
        <v>0</v>
      </c>
    </row>
    <row r="242" spans="1:8">
      <c r="A242" s="7" t="s">
        <v>815</v>
      </c>
      <c r="B242" s="7" t="s">
        <v>816</v>
      </c>
      <c r="C242" s="8">
        <v>-7282.76</v>
      </c>
      <c r="D242" s="7" t="s">
        <v>817</v>
      </c>
      <c r="E242" s="7" t="s">
        <v>564</v>
      </c>
      <c r="F242" s="8">
        <v>7282.76</v>
      </c>
      <c r="G242" s="4">
        <f>ABS(C242)-ABS(F242)</f>
        <v>0</v>
      </c>
      <c r="H242" s="7">
        <f>IF(ABS(G242)&lt;0.1,"OK","REVISAR")</f>
        <v>0</v>
      </c>
    </row>
    <row r="243" spans="1:8">
      <c r="A243" s="7" t="s">
        <v>818</v>
      </c>
      <c r="B243" s="7" t="s">
        <v>819</v>
      </c>
      <c r="C243" s="8">
        <v>-5172.16</v>
      </c>
      <c r="D243" s="7" t="s">
        <v>820</v>
      </c>
      <c r="E243" s="7" t="s">
        <v>634</v>
      </c>
      <c r="F243" s="8">
        <v>5172.16</v>
      </c>
      <c r="G243" s="4">
        <f>ABS(C243)-ABS(F243)</f>
        <v>0</v>
      </c>
      <c r="H243" s="7">
        <f>IF(ABS(G243)&lt;0.1,"OK","REVISAR")</f>
        <v>0</v>
      </c>
    </row>
    <row r="244" spans="1:8">
      <c r="A244" s="7" t="s">
        <v>821</v>
      </c>
      <c r="B244" s="7" t="s">
        <v>822</v>
      </c>
      <c r="C244" s="8">
        <v>-2851.19</v>
      </c>
      <c r="D244" s="7" t="s">
        <v>823</v>
      </c>
      <c r="E244" s="7" t="s">
        <v>630</v>
      </c>
      <c r="F244" s="8">
        <v>2851.19</v>
      </c>
      <c r="G244" s="4">
        <f>ABS(C244)-ABS(F244)</f>
        <v>0</v>
      </c>
      <c r="H244" s="7">
        <f>IF(ABS(G244)&lt;0.1,"OK","REVISAR")</f>
        <v>0</v>
      </c>
    </row>
    <row r="245" spans="1:8">
      <c r="A245" s="2" t="s">
        <v>14</v>
      </c>
      <c r="B245" s="2" t="s">
        <v>824</v>
      </c>
      <c r="C245" s="3">
        <v>-2930.02</v>
      </c>
      <c r="D245" s="2" t="s">
        <v>825</v>
      </c>
      <c r="E245" s="2" t="s">
        <v>826</v>
      </c>
      <c r="F245" s="3">
        <v>2520.54</v>
      </c>
      <c r="G245" s="4">
        <f>ABS(C245)-ABS(F245)</f>
        <v>0</v>
      </c>
      <c r="H245" s="2">
        <f>IF(ABS(G245)&lt;0.1,"OK","REVISAR")</f>
        <v>0</v>
      </c>
    </row>
    <row r="246" spans="1:8">
      <c r="A246" s="7" t="s">
        <v>827</v>
      </c>
      <c r="B246" s="7" t="s">
        <v>828</v>
      </c>
      <c r="C246" s="8">
        <v>-2520.54</v>
      </c>
      <c r="D246" s="7" t="s">
        <v>825</v>
      </c>
      <c r="E246" s="7" t="s">
        <v>826</v>
      </c>
      <c r="F246" s="7"/>
      <c r="G246" s="7"/>
      <c r="H246" s="7"/>
    </row>
    <row r="247" spans="1:8">
      <c r="A247" s="7" t="s">
        <v>829</v>
      </c>
      <c r="B247" s="7" t="s">
        <v>830</v>
      </c>
      <c r="C247" s="8">
        <v>-409.48</v>
      </c>
      <c r="D247" s="7" t="s">
        <v>825</v>
      </c>
      <c r="E247" s="7" t="s">
        <v>826</v>
      </c>
      <c r="F247" s="7"/>
      <c r="G247" s="7"/>
      <c r="H247" s="7"/>
    </row>
    <row r="248" spans="1:8">
      <c r="A248" s="7" t="s">
        <v>831</v>
      </c>
      <c r="B248" s="7" t="s">
        <v>832</v>
      </c>
      <c r="C248" s="8">
        <v>-1711</v>
      </c>
      <c r="D248" s="7" t="s">
        <v>833</v>
      </c>
      <c r="E248" s="7" t="s">
        <v>642</v>
      </c>
      <c r="F248" s="8">
        <v>1711</v>
      </c>
      <c r="G248" s="4">
        <f>ABS(C248)-ABS(F248)</f>
        <v>0</v>
      </c>
      <c r="H248" s="7">
        <f>IF(ABS(G248)&lt;0.1,"OK","REVISAR")</f>
        <v>0</v>
      </c>
    </row>
    <row r="249" spans="1:8">
      <c r="A249" s="5" t="s">
        <v>834</v>
      </c>
      <c r="B249" s="5" t="s">
        <v>835</v>
      </c>
      <c r="C249" s="6">
        <v>-0.14</v>
      </c>
      <c r="D249" s="5"/>
      <c r="E249" s="5"/>
      <c r="F249" s="5"/>
      <c r="G249" s="5"/>
      <c r="H249" s="5"/>
    </row>
    <row r="250" spans="1:8">
      <c r="A250" s="5" t="s">
        <v>836</v>
      </c>
      <c r="B250" s="5" t="s">
        <v>837</v>
      </c>
      <c r="C250" s="6">
        <v>-0.14</v>
      </c>
      <c r="D250" s="5"/>
      <c r="E250" s="5"/>
      <c r="F250" s="5"/>
      <c r="G250" s="5"/>
      <c r="H250" s="5"/>
    </row>
    <row r="251" spans="1:8">
      <c r="A251" s="2" t="s">
        <v>14</v>
      </c>
      <c r="B251" s="2" t="s">
        <v>838</v>
      </c>
      <c r="C251" s="3">
        <v>-0.14</v>
      </c>
      <c r="D251" s="2" t="s">
        <v>839</v>
      </c>
      <c r="E251" s="2" t="s">
        <v>95</v>
      </c>
      <c r="F251" s="3">
        <v>0</v>
      </c>
      <c r="G251" s="4">
        <f>ABS(C251)-ABS(F251)</f>
        <v>0</v>
      </c>
      <c r="H251" s="2">
        <f>IF(ABS(G251)&lt;0.1,"OK","REVISAR")</f>
        <v>0</v>
      </c>
    </row>
    <row r="252" spans="1:8">
      <c r="A252" s="7" t="s">
        <v>840</v>
      </c>
      <c r="B252" s="7" t="s">
        <v>841</v>
      </c>
      <c r="C252" s="8">
        <v>0</v>
      </c>
      <c r="D252" s="7" t="s">
        <v>839</v>
      </c>
      <c r="E252" s="7"/>
      <c r="F252" s="7"/>
      <c r="G252" s="7"/>
      <c r="H252" s="7"/>
    </row>
    <row r="253" spans="1:8">
      <c r="A253" s="7" t="s">
        <v>842</v>
      </c>
      <c r="B253" s="7" t="s">
        <v>843</v>
      </c>
      <c r="C253" s="8">
        <v>-0.14</v>
      </c>
      <c r="D253" s="7" t="s">
        <v>839</v>
      </c>
      <c r="E253" s="7"/>
      <c r="F253" s="7"/>
      <c r="G253" s="7"/>
      <c r="H253" s="7"/>
    </row>
    <row r="254" spans="1:8">
      <c r="A254" s="2" t="s">
        <v>844</v>
      </c>
      <c r="B254" s="2" t="s">
        <v>845</v>
      </c>
      <c r="C254" s="3">
        <v>-5189670.76</v>
      </c>
      <c r="D254" s="2" t="s">
        <v>846</v>
      </c>
      <c r="E254" s="2" t="s">
        <v>847</v>
      </c>
      <c r="F254" s="3">
        <v>5099154.7881</v>
      </c>
      <c r="G254" s="4">
        <f>ABS(C254)-ABS(F254)</f>
        <v>0</v>
      </c>
      <c r="H254" s="2">
        <f>IF(ABS(G254)&lt;0.1,"OK","REVISAR")</f>
        <v>0</v>
      </c>
    </row>
    <row r="255" spans="1:8">
      <c r="A255" s="2" t="s">
        <v>848</v>
      </c>
      <c r="B255" s="2" t="s">
        <v>849</v>
      </c>
      <c r="C255" s="3">
        <v>-5040039.51</v>
      </c>
      <c r="D255" s="2" t="s">
        <v>850</v>
      </c>
      <c r="E255" s="2" t="s">
        <v>851</v>
      </c>
      <c r="F255" s="3">
        <v>5099154.7881</v>
      </c>
      <c r="G255" s="4">
        <f>ABS(C255)-ABS(F255)</f>
        <v>0</v>
      </c>
      <c r="H255" s="2">
        <f>IF(ABS(G255)&lt;0.1,"OK","REVISAR")</f>
        <v>0</v>
      </c>
    </row>
    <row r="256" spans="1:8">
      <c r="A256" s="5" t="s">
        <v>852</v>
      </c>
      <c r="B256" s="5" t="s">
        <v>853</v>
      </c>
      <c r="C256" s="6">
        <v>-88781.75999999999</v>
      </c>
      <c r="D256" s="5"/>
      <c r="E256" s="5"/>
      <c r="F256" s="5"/>
      <c r="G256" s="5"/>
      <c r="H256" s="5"/>
    </row>
    <row r="257" spans="1:8">
      <c r="A257" s="2" t="s">
        <v>854</v>
      </c>
      <c r="B257" s="2" t="s">
        <v>855</v>
      </c>
      <c r="C257" s="3">
        <v>-4951257.75</v>
      </c>
      <c r="D257" s="2" t="s">
        <v>856</v>
      </c>
      <c r="E257" s="2" t="s">
        <v>857</v>
      </c>
      <c r="F257" s="3">
        <v>5099154.7881</v>
      </c>
      <c r="G257" s="4">
        <f>ABS(C257)-ABS(F257)</f>
        <v>0</v>
      </c>
      <c r="H257" s="2">
        <f>IF(ABS(G257)&lt;0.1,"OK","REVISAR")</f>
        <v>0</v>
      </c>
    </row>
    <row r="258" spans="1:8">
      <c r="A258" s="7" t="s">
        <v>858</v>
      </c>
      <c r="B258" s="7" t="s">
        <v>859</v>
      </c>
      <c r="C258" s="8">
        <v>0</v>
      </c>
      <c r="D258" s="7" t="s">
        <v>860</v>
      </c>
      <c r="E258" s="7" t="s">
        <v>95</v>
      </c>
      <c r="F258" s="8">
        <v>0</v>
      </c>
      <c r="G258" s="4">
        <f>ABS(C258)-ABS(F258)</f>
        <v>0</v>
      </c>
      <c r="H258" s="7">
        <f>IF(ABS(G258)&lt;0.1,"OK","REVISAR")</f>
        <v>0</v>
      </c>
    </row>
    <row r="259" spans="1:8">
      <c r="A259" s="5" t="s">
        <v>861</v>
      </c>
      <c r="B259" s="5" t="s">
        <v>862</v>
      </c>
      <c r="C259" s="6">
        <v>-149631.25</v>
      </c>
      <c r="D259" s="5"/>
      <c r="E259" s="5"/>
      <c r="F259" s="5"/>
      <c r="G259" s="5"/>
      <c r="H259" s="5"/>
    </row>
    <row r="260" spans="1:8">
      <c r="A260" s="5" t="s">
        <v>863</v>
      </c>
      <c r="B260" s="5" t="s">
        <v>862</v>
      </c>
      <c r="C260" s="6">
        <v>-149631.25</v>
      </c>
      <c r="D260" s="5"/>
      <c r="E260" s="5"/>
      <c r="F260" s="5"/>
      <c r="G260" s="5"/>
      <c r="H260" s="5"/>
    </row>
    <row r="261" spans="1:8">
      <c r="A261" s="5" t="s">
        <v>864</v>
      </c>
      <c r="B261" s="5" t="s">
        <v>865</v>
      </c>
      <c r="C261" s="6">
        <v>0</v>
      </c>
      <c r="D261" s="5"/>
      <c r="E261" s="5"/>
      <c r="F261" s="5"/>
      <c r="G261" s="5"/>
      <c r="H261" s="5"/>
    </row>
    <row r="262" spans="1:8">
      <c r="A262" s="2" t="s">
        <v>866</v>
      </c>
      <c r="B262" s="2" t="s">
        <v>867</v>
      </c>
      <c r="C262" s="3">
        <v>0</v>
      </c>
      <c r="D262" s="2" t="s">
        <v>868</v>
      </c>
      <c r="E262" s="2" t="s">
        <v>869</v>
      </c>
      <c r="F262" s="3">
        <v>2340492.78</v>
      </c>
      <c r="G262" s="4">
        <f>ABS(C262)-ABS(F262)</f>
        <v>0</v>
      </c>
      <c r="H262" s="2">
        <f>IF(ABS(G262)&lt;0.1,"OK","REVISAR")</f>
        <v>0</v>
      </c>
    </row>
    <row r="263" spans="1:8">
      <c r="A263" s="2" t="s">
        <v>870</v>
      </c>
      <c r="B263" s="2" t="s">
        <v>871</v>
      </c>
      <c r="C263" s="3">
        <v>43617.74</v>
      </c>
      <c r="D263" s="2" t="s">
        <v>872</v>
      </c>
      <c r="E263" s="2" t="s">
        <v>873</v>
      </c>
      <c r="F263" s="3">
        <v>-101104.9134</v>
      </c>
      <c r="G263" s="4">
        <f>ABS(C263)-ABS(F263)</f>
        <v>0</v>
      </c>
      <c r="H263" s="2">
        <f>IF(ABS(G263)&lt;0.1,"OK","REVISAR")</f>
        <v>0</v>
      </c>
    </row>
    <row r="264" spans="1:8">
      <c r="A264" s="2" t="s">
        <v>874</v>
      </c>
      <c r="B264" s="2" t="s">
        <v>875</v>
      </c>
      <c r="C264" s="3">
        <v>-14869.46</v>
      </c>
      <c r="D264" s="2" t="s">
        <v>876</v>
      </c>
      <c r="E264" s="2" t="s">
        <v>877</v>
      </c>
      <c r="F264" s="3">
        <v>-101104.9134</v>
      </c>
      <c r="G264" s="4">
        <f>ABS(C264)-ABS(F264)</f>
        <v>0</v>
      </c>
      <c r="H264" s="2">
        <f>IF(ABS(G264)&lt;0.1,"OK","REVISAR")</f>
        <v>0</v>
      </c>
    </row>
    <row r="265" spans="1:8">
      <c r="A265" s="2" t="s">
        <v>14</v>
      </c>
      <c r="B265" s="2" t="s">
        <v>878</v>
      </c>
      <c r="C265" s="3">
        <v>0</v>
      </c>
      <c r="D265" s="2" t="s">
        <v>879</v>
      </c>
      <c r="E265" s="2" t="s">
        <v>880</v>
      </c>
      <c r="F265" s="3">
        <v>0</v>
      </c>
      <c r="G265" s="4">
        <f>ABS(C265)-ABS(F265)</f>
        <v>0</v>
      </c>
      <c r="H265" s="2">
        <f>IF(ABS(G265)&lt;0.1,"OK","REVISAR")</f>
        <v>0</v>
      </c>
    </row>
    <row r="266" spans="1:8">
      <c r="A266" s="7" t="s">
        <v>881</v>
      </c>
      <c r="B266" s="7" t="s">
        <v>882</v>
      </c>
      <c r="C266" s="8">
        <v>0</v>
      </c>
      <c r="D266" s="7" t="s">
        <v>879</v>
      </c>
      <c r="E266" s="7" t="s">
        <v>880</v>
      </c>
      <c r="F266" s="7"/>
      <c r="G266" s="7"/>
      <c r="H266" s="7"/>
    </row>
    <row r="267" spans="1:8">
      <c r="A267" s="7" t="s">
        <v>883</v>
      </c>
      <c r="B267" s="7" t="s">
        <v>884</v>
      </c>
      <c r="C267" s="8">
        <v>0</v>
      </c>
      <c r="D267" s="7" t="s">
        <v>885</v>
      </c>
      <c r="E267" s="7" t="s">
        <v>886</v>
      </c>
      <c r="F267" s="8">
        <v>0.0004</v>
      </c>
      <c r="G267" s="4">
        <f>ABS(C267)-ABS(F267)</f>
        <v>0</v>
      </c>
      <c r="H267" s="7">
        <f>IF(ABS(G267)&lt;0.1,"OK","REVISAR")</f>
        <v>0</v>
      </c>
    </row>
    <row r="268" spans="1:8">
      <c r="A268" s="7" t="s">
        <v>887</v>
      </c>
      <c r="B268" s="7" t="s">
        <v>888</v>
      </c>
      <c r="C268" s="8">
        <v>0</v>
      </c>
      <c r="D268" s="7" t="s">
        <v>889</v>
      </c>
      <c r="E268" s="7" t="s">
        <v>67</v>
      </c>
      <c r="F268" s="8">
        <v>0</v>
      </c>
      <c r="G268" s="4">
        <f>ABS(C268)-ABS(F268)</f>
        <v>0</v>
      </c>
      <c r="H268" s="7">
        <f>IF(ABS(G268)&lt;0.1,"OK","REVISAR")</f>
        <v>0</v>
      </c>
    </row>
    <row r="269" spans="1:8">
      <c r="A269" s="7" t="s">
        <v>890</v>
      </c>
      <c r="B269" s="7" t="s">
        <v>891</v>
      </c>
      <c r="C269" s="8">
        <v>0</v>
      </c>
      <c r="D269" s="7" t="s">
        <v>892</v>
      </c>
      <c r="E269" s="7" t="s">
        <v>893</v>
      </c>
      <c r="F269" s="8">
        <v>0</v>
      </c>
      <c r="G269" s="4">
        <f>ABS(C269)-ABS(F269)</f>
        <v>0</v>
      </c>
      <c r="H269" s="7">
        <f>IF(ABS(G269)&lt;0.1,"OK","REVISAR")</f>
        <v>0</v>
      </c>
    </row>
    <row r="270" spans="1:8">
      <c r="A270" s="2" t="s">
        <v>894</v>
      </c>
      <c r="B270" s="2" t="s">
        <v>895</v>
      </c>
      <c r="C270" s="3">
        <v>0</v>
      </c>
      <c r="D270" s="2" t="s">
        <v>896</v>
      </c>
      <c r="E270" s="2" t="s">
        <v>897</v>
      </c>
      <c r="F270" s="3">
        <v>0</v>
      </c>
      <c r="G270" s="4">
        <f>ABS(C270)-ABS(F270)</f>
        <v>0</v>
      </c>
      <c r="H270" s="2">
        <f>IF(ABS(G270)&lt;0.1,"OK","REVISAR")</f>
        <v>0</v>
      </c>
    </row>
    <row r="271" spans="1:8">
      <c r="A271" s="7" t="s">
        <v>898</v>
      </c>
      <c r="B271" s="7" t="s">
        <v>899</v>
      </c>
      <c r="C271" s="8">
        <v>0</v>
      </c>
      <c r="D271" s="7" t="s">
        <v>900</v>
      </c>
      <c r="E271" s="7" t="s">
        <v>95</v>
      </c>
      <c r="F271" s="8">
        <v>0</v>
      </c>
      <c r="G271" s="4">
        <f>ABS(C271)-ABS(F271)</f>
        <v>0</v>
      </c>
      <c r="H271" s="7">
        <f>IF(ABS(G271)&lt;0.1,"OK","REVISAR")</f>
        <v>0</v>
      </c>
    </row>
    <row r="272" spans="1:8">
      <c r="A272" s="7" t="s">
        <v>901</v>
      </c>
      <c r="B272" s="7" t="s">
        <v>902</v>
      </c>
      <c r="C272" s="8">
        <v>0</v>
      </c>
      <c r="D272" s="7" t="s">
        <v>903</v>
      </c>
      <c r="E272" s="7" t="s">
        <v>904</v>
      </c>
      <c r="F272" s="8">
        <v>0</v>
      </c>
      <c r="G272" s="4">
        <f>ABS(C272)-ABS(F272)</f>
        <v>0</v>
      </c>
      <c r="H272" s="7">
        <f>IF(ABS(G272)&lt;0.1,"OK","REVISAR")</f>
        <v>0</v>
      </c>
    </row>
    <row r="273" spans="1:8">
      <c r="A273" s="2" t="s">
        <v>14</v>
      </c>
      <c r="B273" s="2" t="s">
        <v>905</v>
      </c>
      <c r="C273" s="3">
        <v>237.24</v>
      </c>
      <c r="D273" s="2" t="s">
        <v>906</v>
      </c>
      <c r="E273" s="2" t="s">
        <v>907</v>
      </c>
      <c r="F273" s="3">
        <v>1513.6062</v>
      </c>
      <c r="G273" s="4">
        <f>ABS(C273)-ABS(F273)</f>
        <v>0</v>
      </c>
      <c r="H273" s="2">
        <f>IF(ABS(G273)&lt;0.1,"OK","REVISAR")</f>
        <v>0</v>
      </c>
    </row>
    <row r="274" spans="1:8">
      <c r="A274" s="7" t="s">
        <v>908</v>
      </c>
      <c r="B274" s="7" t="s">
        <v>909</v>
      </c>
      <c r="C274" s="8">
        <v>237.24</v>
      </c>
      <c r="D274" s="7" t="s">
        <v>906</v>
      </c>
      <c r="E274" s="7" t="s">
        <v>907</v>
      </c>
      <c r="F274" s="7"/>
      <c r="G274" s="7"/>
      <c r="H274" s="7"/>
    </row>
    <row r="275" spans="1:8">
      <c r="A275" s="7" t="s">
        <v>910</v>
      </c>
      <c r="B275" s="7" t="s">
        <v>911</v>
      </c>
      <c r="C275" s="8">
        <v>0</v>
      </c>
      <c r="D275" s="7" t="s">
        <v>912</v>
      </c>
      <c r="E275" s="7" t="s">
        <v>913</v>
      </c>
      <c r="F275" s="8">
        <v>0</v>
      </c>
      <c r="G275" s="4">
        <f>ABS(C275)-ABS(F275)</f>
        <v>0</v>
      </c>
      <c r="H275" s="7">
        <f>IF(ABS(G275)&lt;0.1,"OK","REVISAR")</f>
        <v>0</v>
      </c>
    </row>
    <row r="276" spans="1:8">
      <c r="A276" s="7" t="s">
        <v>914</v>
      </c>
      <c r="B276" s="7" t="s">
        <v>915</v>
      </c>
      <c r="C276" s="8">
        <v>-14668.19</v>
      </c>
      <c r="D276" s="7" t="s">
        <v>916</v>
      </c>
      <c r="E276" s="7" t="s">
        <v>917</v>
      </c>
      <c r="F276" s="8">
        <v>14668.19</v>
      </c>
      <c r="G276" s="4">
        <f>ABS(C276)-ABS(F276)</f>
        <v>0</v>
      </c>
      <c r="H276" s="7">
        <f>IF(ABS(G276)&lt;0.1,"OK","REVISAR")</f>
        <v>0</v>
      </c>
    </row>
    <row r="277" spans="1:8">
      <c r="A277" s="5" t="s">
        <v>918</v>
      </c>
      <c r="B277" s="5" t="s">
        <v>919</v>
      </c>
      <c r="C277" s="6">
        <v>-1741.51</v>
      </c>
      <c r="D277" s="5"/>
      <c r="E277" s="5"/>
      <c r="F277" s="5"/>
      <c r="G277" s="5"/>
      <c r="H277" s="5"/>
    </row>
    <row r="278" spans="1:8">
      <c r="A278" s="5" t="s">
        <v>920</v>
      </c>
      <c r="B278" s="5" t="s">
        <v>875</v>
      </c>
      <c r="C278" s="6">
        <v>0</v>
      </c>
      <c r="D278" s="5"/>
      <c r="E278" s="5"/>
      <c r="F278" s="5"/>
      <c r="G278" s="5"/>
      <c r="H278" s="5"/>
    </row>
    <row r="279" spans="1:8">
      <c r="A279" s="7" t="s">
        <v>921</v>
      </c>
      <c r="B279" s="7" t="s">
        <v>922</v>
      </c>
      <c r="C279" s="8">
        <v>0</v>
      </c>
      <c r="D279" s="7" t="s">
        <v>879</v>
      </c>
      <c r="E279" s="7" t="s">
        <v>880</v>
      </c>
      <c r="F279" s="7"/>
      <c r="G279" s="7"/>
      <c r="H279" s="7"/>
    </row>
    <row r="280" spans="1:8">
      <c r="A280" s="7" t="s">
        <v>923</v>
      </c>
      <c r="B280" s="7" t="s">
        <v>924</v>
      </c>
      <c r="C280" s="8">
        <v>-0.15</v>
      </c>
      <c r="D280" s="7" t="s">
        <v>925</v>
      </c>
      <c r="E280" s="7" t="s">
        <v>926</v>
      </c>
      <c r="F280" s="8">
        <v>-35605.21</v>
      </c>
      <c r="G280" s="4">
        <f>ABS(C280)-ABS(F280)</f>
        <v>0</v>
      </c>
      <c r="H280" s="7">
        <f>IF(ABS(G280)&lt;0.1,"OK","REVISAR")</f>
        <v>0</v>
      </c>
    </row>
    <row r="281" spans="1:8">
      <c r="A281" s="7" t="s">
        <v>927</v>
      </c>
      <c r="B281" s="7" t="s">
        <v>928</v>
      </c>
      <c r="C281" s="8">
        <v>0</v>
      </c>
      <c r="D281" s="7" t="s">
        <v>906</v>
      </c>
      <c r="E281" s="7" t="s">
        <v>907</v>
      </c>
      <c r="F281" s="7"/>
      <c r="G281" s="7"/>
      <c r="H281" s="7"/>
    </row>
    <row r="282" spans="1:8">
      <c r="A282" s="7" t="s">
        <v>929</v>
      </c>
      <c r="B282" s="7" t="s">
        <v>930</v>
      </c>
      <c r="C282" s="8">
        <v>0</v>
      </c>
      <c r="D282" s="7" t="s">
        <v>906</v>
      </c>
      <c r="E282" s="7" t="s">
        <v>907</v>
      </c>
      <c r="F282" s="7"/>
      <c r="G282" s="7"/>
      <c r="H282" s="7"/>
    </row>
    <row r="283" spans="1:8">
      <c r="A283" s="5" t="s">
        <v>931</v>
      </c>
      <c r="B283" s="5" t="s">
        <v>932</v>
      </c>
      <c r="C283" s="6">
        <v>0</v>
      </c>
      <c r="D283" s="5"/>
      <c r="E283" s="5"/>
      <c r="F283" s="5"/>
      <c r="G283" s="5"/>
      <c r="H283" s="5"/>
    </row>
    <row r="284" spans="1:8">
      <c r="A284" s="5" t="s">
        <v>933</v>
      </c>
      <c r="B284" s="5" t="s">
        <v>934</v>
      </c>
      <c r="C284" s="6">
        <v>0</v>
      </c>
      <c r="D284" s="5"/>
      <c r="E284" s="5"/>
      <c r="F284" s="5"/>
      <c r="G284" s="5"/>
      <c r="H284" s="5"/>
    </row>
    <row r="285" spans="1:8">
      <c r="A285" s="7" t="s">
        <v>935</v>
      </c>
      <c r="B285" s="7" t="s">
        <v>936</v>
      </c>
      <c r="C285" s="8">
        <v>-0.02</v>
      </c>
      <c r="D285" s="7" t="s">
        <v>937</v>
      </c>
      <c r="E285" s="7" t="s">
        <v>95</v>
      </c>
      <c r="F285" s="8">
        <v>0</v>
      </c>
      <c r="G285" s="4">
        <f>ABS(C285)-ABS(F285)</f>
        <v>0</v>
      </c>
      <c r="H285" s="7">
        <f>IF(ABS(G285)&lt;0.1,"OK","REVISAR")</f>
        <v>0</v>
      </c>
    </row>
    <row r="286" spans="1:8">
      <c r="A286" s="5" t="s">
        <v>938</v>
      </c>
      <c r="B286" s="5" t="s">
        <v>939</v>
      </c>
      <c r="C286" s="6">
        <v>1135.34</v>
      </c>
      <c r="D286" s="5"/>
      <c r="E286" s="5"/>
      <c r="F286" s="5"/>
      <c r="G286" s="5"/>
      <c r="H286" s="5"/>
    </row>
    <row r="287" spans="1:8">
      <c r="A287" s="5" t="s">
        <v>940</v>
      </c>
      <c r="B287" s="5" t="s">
        <v>941</v>
      </c>
      <c r="C287" s="6">
        <v>0</v>
      </c>
      <c r="D287" s="5"/>
      <c r="E287" s="5"/>
      <c r="F287" s="5"/>
      <c r="G287" s="5"/>
      <c r="H287" s="5"/>
    </row>
    <row r="288" spans="1:8">
      <c r="A288" s="5" t="s">
        <v>942</v>
      </c>
      <c r="B288" s="5" t="s">
        <v>943</v>
      </c>
      <c r="C288" s="6">
        <v>0</v>
      </c>
      <c r="D288" s="5"/>
      <c r="E288" s="5"/>
      <c r="F288" s="5"/>
      <c r="G288" s="5"/>
      <c r="H288" s="5"/>
    </row>
    <row r="289" spans="1:8">
      <c r="A289" s="5" t="s">
        <v>944</v>
      </c>
      <c r="B289" s="5" t="s">
        <v>945</v>
      </c>
      <c r="C289" s="6">
        <v>0</v>
      </c>
      <c r="D289" s="5"/>
      <c r="E289" s="5"/>
      <c r="F289" s="5"/>
      <c r="G289" s="5"/>
      <c r="H289" s="5"/>
    </row>
    <row r="290" spans="1:8">
      <c r="A290" s="5" t="s">
        <v>946</v>
      </c>
      <c r="B290" s="5" t="s">
        <v>947</v>
      </c>
      <c r="C290" s="6">
        <v>0</v>
      </c>
      <c r="D290" s="5"/>
      <c r="E290" s="5"/>
      <c r="F290" s="5"/>
      <c r="G290" s="5"/>
      <c r="H290" s="5"/>
    </row>
    <row r="291" spans="1:8">
      <c r="A291" s="5" t="s">
        <v>948</v>
      </c>
      <c r="B291" s="5" t="s">
        <v>949</v>
      </c>
      <c r="C291" s="6">
        <v>0</v>
      </c>
      <c r="D291" s="5"/>
      <c r="E291" s="5"/>
      <c r="F291" s="5"/>
      <c r="G291" s="5"/>
      <c r="H291" s="5"/>
    </row>
    <row r="292" spans="1:8">
      <c r="A292" s="5" t="s">
        <v>950</v>
      </c>
      <c r="B292" s="5" t="s">
        <v>951</v>
      </c>
      <c r="C292" s="6">
        <v>167.83</v>
      </c>
      <c r="D292" s="5"/>
      <c r="E292" s="5"/>
      <c r="F292" s="5"/>
      <c r="G292" s="5"/>
      <c r="H292" s="5"/>
    </row>
    <row r="293" spans="1:8">
      <c r="A293" s="5" t="s">
        <v>952</v>
      </c>
      <c r="B293" s="5" t="s">
        <v>953</v>
      </c>
      <c r="C293" s="6">
        <v>0</v>
      </c>
      <c r="D293" s="5"/>
      <c r="E293" s="5"/>
      <c r="F293" s="5"/>
      <c r="G293" s="5"/>
      <c r="H293" s="5"/>
    </row>
    <row r="294" spans="1:8">
      <c r="A294" s="5" t="s">
        <v>954</v>
      </c>
      <c r="B294" s="5" t="s">
        <v>955</v>
      </c>
      <c r="C294" s="6">
        <v>58487.2</v>
      </c>
      <c r="D294" s="5"/>
      <c r="E294" s="5"/>
      <c r="F294" s="5"/>
      <c r="G294" s="5"/>
      <c r="H294" s="5"/>
    </row>
    <row r="295" spans="1:8">
      <c r="A295" s="5" t="s">
        <v>956</v>
      </c>
      <c r="B295" s="5" t="s">
        <v>957</v>
      </c>
      <c r="C295" s="6">
        <v>58487.2</v>
      </c>
      <c r="D295" s="5"/>
      <c r="E295" s="5"/>
      <c r="F295" s="5"/>
      <c r="G295" s="5"/>
      <c r="H295" s="5"/>
    </row>
    <row r="296" spans="1:8">
      <c r="A296" s="2" t="s">
        <v>958</v>
      </c>
      <c r="B296" s="2" t="s">
        <v>959</v>
      </c>
      <c r="C296" s="3">
        <v>-199459.27</v>
      </c>
      <c r="D296" s="2" t="s">
        <v>960</v>
      </c>
      <c r="E296" s="2" t="s">
        <v>961</v>
      </c>
      <c r="F296" s="3">
        <v>34916.06</v>
      </c>
      <c r="G296" s="4">
        <f>ABS(C296)-ABS(F296)</f>
        <v>0</v>
      </c>
      <c r="H296" s="2">
        <f>IF(ABS(G296)&lt;0.1,"OK","REVISAR")</f>
        <v>0</v>
      </c>
    </row>
    <row r="297" spans="1:8">
      <c r="A297" s="5" t="s">
        <v>962</v>
      </c>
      <c r="B297" s="5" t="s">
        <v>963</v>
      </c>
      <c r="C297" s="6">
        <v>-199459.27</v>
      </c>
      <c r="D297" s="5"/>
      <c r="E297" s="5"/>
      <c r="F297" s="5"/>
      <c r="G297" s="5"/>
      <c r="H297" s="5"/>
    </row>
    <row r="298" spans="1:8">
      <c r="A298" s="2" t="s">
        <v>964</v>
      </c>
      <c r="B298" s="2" t="s">
        <v>965</v>
      </c>
      <c r="C298" s="3">
        <v>-199459.27</v>
      </c>
      <c r="D298" s="2" t="s">
        <v>966</v>
      </c>
      <c r="E298" s="2" t="s">
        <v>967</v>
      </c>
      <c r="F298" s="3">
        <v>34916.06</v>
      </c>
      <c r="G298" s="4">
        <f>ABS(C298)-ABS(F298)</f>
        <v>0</v>
      </c>
      <c r="H298" s="2">
        <f>IF(ABS(G298)&lt;0.1,"OK","REVISAR")</f>
        <v>0</v>
      </c>
    </row>
    <row r="299" spans="1:8">
      <c r="A299" s="7" t="s">
        <v>968</v>
      </c>
      <c r="B299" s="7" t="s">
        <v>969</v>
      </c>
      <c r="C299" s="8">
        <v>0</v>
      </c>
      <c r="D299" s="7" t="s">
        <v>970</v>
      </c>
      <c r="E299" s="7" t="s">
        <v>95</v>
      </c>
      <c r="F299" s="8">
        <v>0</v>
      </c>
      <c r="G299" s="4">
        <f>ABS(C299)-ABS(F299)</f>
        <v>0</v>
      </c>
      <c r="H299" s="7">
        <f>IF(ABS(G299)&lt;0.1,"OK","REVISAR")</f>
        <v>0</v>
      </c>
    </row>
    <row r="300" spans="1:8">
      <c r="A300" s="2" t="s">
        <v>971</v>
      </c>
      <c r="B300" s="2" t="s">
        <v>972</v>
      </c>
      <c r="C300" s="3">
        <v>-819575.41</v>
      </c>
      <c r="D300" s="2" t="s">
        <v>973</v>
      </c>
      <c r="E300" s="2" t="s">
        <v>974</v>
      </c>
      <c r="F300" s="3">
        <v>813039.2361</v>
      </c>
      <c r="G300" s="4">
        <f>ABS(C300)-ABS(F300)</f>
        <v>0</v>
      </c>
      <c r="H300" s="2">
        <f>IF(ABS(G300)&lt;0.1,"OK","REVISAR")</f>
        <v>0</v>
      </c>
    </row>
    <row r="301" spans="1:8">
      <c r="A301" s="5" t="s">
        <v>975</v>
      </c>
      <c r="B301" s="5" t="s">
        <v>976</v>
      </c>
      <c r="C301" s="6">
        <v>-819575.41</v>
      </c>
      <c r="D301" s="5"/>
      <c r="E301" s="5"/>
      <c r="F301" s="5"/>
      <c r="G301" s="5"/>
      <c r="H301" s="5"/>
    </row>
    <row r="302" spans="1:8">
      <c r="A302" s="7" t="s">
        <v>977</v>
      </c>
      <c r="B302" s="7" t="s">
        <v>978</v>
      </c>
      <c r="C302" s="8">
        <v>-819575.41</v>
      </c>
      <c r="D302" s="7" t="s">
        <v>979</v>
      </c>
      <c r="E302" s="7" t="s">
        <v>980</v>
      </c>
      <c r="F302" s="8">
        <v>813039.2361</v>
      </c>
      <c r="G302" s="4">
        <f>ABS(C302)-ABS(F302)</f>
        <v>0</v>
      </c>
      <c r="H302" s="7">
        <f>IF(ABS(G302)&lt;0.1,"OK","REVISAR")</f>
        <v>0</v>
      </c>
    </row>
    <row r="303" spans="1:8">
      <c r="A303" s="2" t="s">
        <v>981</v>
      </c>
      <c r="B303" s="2" t="s">
        <v>982</v>
      </c>
      <c r="C303" s="3">
        <v>425704.86</v>
      </c>
      <c r="D303" s="2" t="s">
        <v>983</v>
      </c>
      <c r="E303" s="2" t="s">
        <v>984</v>
      </c>
      <c r="F303" s="3">
        <v>-341827.2805</v>
      </c>
      <c r="G303" s="4">
        <f>ABS(C303)-ABS(F303)</f>
        <v>0</v>
      </c>
      <c r="H303" s="2">
        <f>IF(ABS(G303)&lt;0.1,"OK","REVISAR")</f>
        <v>0</v>
      </c>
    </row>
    <row r="304" spans="1:8">
      <c r="A304" s="5" t="s">
        <v>985</v>
      </c>
      <c r="B304" s="5" t="s">
        <v>986</v>
      </c>
      <c r="C304" s="6">
        <v>425704.86</v>
      </c>
      <c r="D304" s="5"/>
      <c r="E304" s="5"/>
      <c r="F304" s="5"/>
      <c r="G304" s="5"/>
      <c r="H304" s="5"/>
    </row>
    <row r="305" spans="1:8">
      <c r="A305" s="7" t="s">
        <v>987</v>
      </c>
      <c r="B305" s="7" t="s">
        <v>988</v>
      </c>
      <c r="C305" s="8">
        <v>425704.86</v>
      </c>
      <c r="D305" s="7" t="s">
        <v>989</v>
      </c>
      <c r="E305" s="7" t="s">
        <v>990</v>
      </c>
      <c r="F305" s="8">
        <v>-341827.2805</v>
      </c>
      <c r="G305" s="4">
        <f>ABS(C305)-ABS(F305)</f>
        <v>0</v>
      </c>
      <c r="H305" s="7">
        <f>IF(ABS(G305)&lt;0.1,"OK","REVISAR")</f>
        <v>0</v>
      </c>
    </row>
    <row r="306" spans="1:8">
      <c r="A306" s="2" t="s">
        <v>991</v>
      </c>
      <c r="B306" s="2" t="s">
        <v>992</v>
      </c>
      <c r="C306" s="3">
        <v>-4590.139999999999</v>
      </c>
      <c r="D306" s="2" t="s">
        <v>993</v>
      </c>
      <c r="E306" s="2" t="s">
        <v>994</v>
      </c>
      <c r="F306" s="3">
        <v>8218.709999999999</v>
      </c>
      <c r="G306" s="4">
        <f>ABS(C306)-ABS(F306)</f>
        <v>0</v>
      </c>
      <c r="H306" s="2">
        <f>IF(ABS(G306)&lt;0.1,"OK","REVISAR")</f>
        <v>0</v>
      </c>
    </row>
    <row r="307" spans="1:8">
      <c r="A307" s="5" t="s">
        <v>995</v>
      </c>
      <c r="B307" s="5" t="s">
        <v>992</v>
      </c>
      <c r="C307" s="6">
        <v>-5468.2</v>
      </c>
      <c r="D307" s="5"/>
      <c r="E307" s="5"/>
      <c r="F307" s="5"/>
      <c r="G307" s="5"/>
      <c r="H307" s="5"/>
    </row>
    <row r="308" spans="1:8">
      <c r="A308" s="7" t="s">
        <v>996</v>
      </c>
      <c r="B308" s="7" t="s">
        <v>997</v>
      </c>
      <c r="C308" s="8">
        <v>-5468.2</v>
      </c>
      <c r="D308" s="7" t="s">
        <v>998</v>
      </c>
      <c r="E308" s="7" t="s">
        <v>999</v>
      </c>
      <c r="F308" s="8">
        <v>7732.97</v>
      </c>
      <c r="G308" s="4">
        <f>ABS(C308)-ABS(F308)</f>
        <v>0</v>
      </c>
      <c r="H308" s="7">
        <f>IF(ABS(G308)&lt;0.1,"OK","REVISAR")</f>
        <v>0</v>
      </c>
    </row>
    <row r="309" spans="1:8">
      <c r="A309" s="5" t="s">
        <v>1000</v>
      </c>
      <c r="B309" s="5" t="s">
        <v>1001</v>
      </c>
      <c r="C309" s="6">
        <v>1272.8</v>
      </c>
      <c r="D309" s="5"/>
      <c r="E309" s="5"/>
      <c r="F309" s="5"/>
      <c r="G309" s="5"/>
      <c r="H309" s="5"/>
    </row>
    <row r="310" spans="1:8">
      <c r="A310" s="7" t="s">
        <v>1002</v>
      </c>
      <c r="B310" s="7" t="s">
        <v>1003</v>
      </c>
      <c r="C310" s="8">
        <v>1272.8</v>
      </c>
      <c r="D310" s="7" t="s">
        <v>1004</v>
      </c>
      <c r="E310" s="7" t="s">
        <v>1005</v>
      </c>
      <c r="F310" s="8">
        <v>91</v>
      </c>
      <c r="G310" s="4">
        <f>ABS(C310)-ABS(F310)</f>
        <v>0</v>
      </c>
      <c r="H310" s="7">
        <f>IF(ABS(G310)&lt;0.1,"OK","REVISAR")</f>
        <v>0</v>
      </c>
    </row>
    <row r="311" spans="1:8">
      <c r="A311" s="5" t="s">
        <v>1006</v>
      </c>
      <c r="B311" s="5" t="s">
        <v>1007</v>
      </c>
      <c r="C311" s="6">
        <v>0</v>
      </c>
      <c r="D311" s="5"/>
      <c r="E311" s="5"/>
      <c r="F311" s="5"/>
      <c r="G311" s="5"/>
      <c r="H311" s="5"/>
    </row>
    <row r="312" spans="1:8">
      <c r="A312" s="7" t="s">
        <v>1008</v>
      </c>
      <c r="B312" s="7" t="s">
        <v>1009</v>
      </c>
      <c r="C312" s="8">
        <v>0</v>
      </c>
      <c r="D312" s="7" t="s">
        <v>1010</v>
      </c>
      <c r="E312" s="7" t="s">
        <v>1011</v>
      </c>
      <c r="F312" s="8">
        <v>394.74</v>
      </c>
      <c r="G312" s="4">
        <f>ABS(C312)-ABS(F312)</f>
        <v>0</v>
      </c>
      <c r="H312" s="7">
        <f>IF(ABS(G312)&lt;0.1,"OK","REVISAR")</f>
        <v>0</v>
      </c>
    </row>
    <row r="313" spans="1:8">
      <c r="A313" s="5" t="s">
        <v>1012</v>
      </c>
      <c r="B313" s="5" t="s">
        <v>1013</v>
      </c>
      <c r="C313" s="6">
        <v>-394.74</v>
      </c>
      <c r="D313" s="5"/>
      <c r="E313" s="5"/>
      <c r="F313" s="5"/>
      <c r="G313" s="5"/>
      <c r="H313" s="5"/>
    </row>
    <row r="314" spans="1:8">
      <c r="A314" s="7" t="s">
        <v>1014</v>
      </c>
      <c r="B314" s="7" t="s">
        <v>1015</v>
      </c>
      <c r="C314" s="8">
        <v>-394.74</v>
      </c>
      <c r="D314" s="7" t="s">
        <v>1016</v>
      </c>
      <c r="E314" s="7" t="s">
        <v>95</v>
      </c>
      <c r="F314" s="8">
        <v>0</v>
      </c>
      <c r="G314" s="4">
        <f>ABS(C314)-ABS(F314)</f>
        <v>0</v>
      </c>
      <c r="H314" s="7">
        <f>IF(ABS(G314)&lt;0.1,"OK","REVISAR")</f>
        <v>0</v>
      </c>
    </row>
    <row r="315" spans="1:8">
      <c r="A315" s="2" t="s">
        <v>1017</v>
      </c>
      <c r="B315" s="2" t="s">
        <v>1018</v>
      </c>
      <c r="C315" s="3">
        <v>-59459.25999999999</v>
      </c>
      <c r="D315" s="2" t="s">
        <v>1019</v>
      </c>
      <c r="E315" s="2" t="s">
        <v>1020</v>
      </c>
      <c r="F315" s="3">
        <v>43194.8</v>
      </c>
      <c r="G315" s="4">
        <f>ABS(C315)-ABS(F315)</f>
        <v>0</v>
      </c>
      <c r="H315" s="2">
        <f>IF(ABS(G315)&lt;0.1,"OK","REVISAR")</f>
        <v>0</v>
      </c>
    </row>
    <row r="316" spans="1:8">
      <c r="A316" s="5" t="s">
        <v>1021</v>
      </c>
      <c r="B316" s="5" t="s">
        <v>1022</v>
      </c>
      <c r="C316" s="6">
        <v>-66414.56</v>
      </c>
      <c r="D316" s="5"/>
      <c r="E316" s="5"/>
      <c r="F316" s="5"/>
      <c r="G316" s="5"/>
      <c r="H316" s="5"/>
    </row>
    <row r="317" spans="1:8">
      <c r="A317" s="7" t="s">
        <v>1023</v>
      </c>
      <c r="B317" s="7" t="s">
        <v>1024</v>
      </c>
      <c r="C317" s="8">
        <v>-66414.56</v>
      </c>
      <c r="D317" s="7" t="s">
        <v>1025</v>
      </c>
      <c r="E317" s="7" t="s">
        <v>1026</v>
      </c>
      <c r="F317" s="8">
        <v>26465.22</v>
      </c>
      <c r="G317" s="4">
        <f>ABS(C317)-ABS(F317)</f>
        <v>0</v>
      </c>
      <c r="H317" s="7">
        <f>IF(ABS(G317)&lt;0.1,"OK","REVISAR")</f>
        <v>0</v>
      </c>
    </row>
    <row r="318" spans="1:8">
      <c r="A318" s="5" t="s">
        <v>1027</v>
      </c>
      <c r="B318" s="5" t="s">
        <v>1028</v>
      </c>
      <c r="C318" s="6">
        <v>7954.87</v>
      </c>
      <c r="D318" s="5"/>
      <c r="E318" s="5"/>
      <c r="F318" s="5"/>
      <c r="G318" s="5"/>
      <c r="H318" s="5"/>
    </row>
    <row r="319" spans="1:8">
      <c r="A319" s="7" t="s">
        <v>1029</v>
      </c>
      <c r="B319" s="7" t="s">
        <v>1030</v>
      </c>
      <c r="C319" s="8">
        <v>7954.87</v>
      </c>
      <c r="D319" s="7" t="s">
        <v>1031</v>
      </c>
      <c r="E319" s="7" t="s">
        <v>1032</v>
      </c>
      <c r="F319" s="8">
        <v>0.15</v>
      </c>
      <c r="G319" s="4">
        <f>ABS(C319)-ABS(F319)</f>
        <v>0</v>
      </c>
      <c r="H319" s="7">
        <f>IF(ABS(G319)&lt;0.1,"OK","REVISAR")</f>
        <v>0</v>
      </c>
    </row>
    <row r="320" spans="1:8">
      <c r="A320" s="5" t="s">
        <v>1033</v>
      </c>
      <c r="B320" s="5" t="s">
        <v>1034</v>
      </c>
      <c r="C320" s="6">
        <v>-999.5700000000001</v>
      </c>
      <c r="D320" s="5"/>
      <c r="E320" s="5"/>
      <c r="F320" s="5"/>
      <c r="G320" s="5"/>
      <c r="H320" s="5"/>
    </row>
    <row r="321" spans="1:8">
      <c r="A321" s="7" t="s">
        <v>1035</v>
      </c>
      <c r="B321" s="7" t="s">
        <v>1036</v>
      </c>
      <c r="C321" s="8">
        <v>-999.5700000000001</v>
      </c>
      <c r="D321" s="7" t="s">
        <v>1037</v>
      </c>
      <c r="E321" s="7" t="s">
        <v>1038</v>
      </c>
      <c r="F321" s="8">
        <v>16729.43</v>
      </c>
      <c r="G321" s="4">
        <f>ABS(C321)-ABS(F321)</f>
        <v>0</v>
      </c>
      <c r="H321" s="7">
        <f>IF(ABS(G321)&lt;0.1,"OK","REVISAR")</f>
        <v>0</v>
      </c>
    </row>
    <row r="322" spans="1:8">
      <c r="A322" s="2" t="s">
        <v>1039</v>
      </c>
      <c r="B322" s="2" t="s">
        <v>1040</v>
      </c>
      <c r="C322" s="3">
        <v>-261814.6</v>
      </c>
      <c r="D322" s="2" t="s">
        <v>1041</v>
      </c>
      <c r="E322" s="2" t="s">
        <v>1042</v>
      </c>
      <c r="F322" s="3">
        <v>270972.7717</v>
      </c>
      <c r="G322" s="4">
        <f>ABS(C322)-ABS(F322)</f>
        <v>0</v>
      </c>
      <c r="H322" s="2">
        <f>IF(ABS(G322)&lt;0.1,"OK","REVISAR")</f>
        <v>0</v>
      </c>
    </row>
    <row r="323" spans="1:8">
      <c r="A323" s="5" t="s">
        <v>1043</v>
      </c>
      <c r="B323" s="5" t="s">
        <v>1044</v>
      </c>
      <c r="C323" s="6">
        <v>-258312.51</v>
      </c>
      <c r="D323" s="5"/>
      <c r="E323" s="5"/>
      <c r="F323" s="5"/>
      <c r="G323" s="5"/>
      <c r="H323" s="5"/>
    </row>
    <row r="324" spans="1:8">
      <c r="A324" s="7" t="s">
        <v>1045</v>
      </c>
      <c r="B324" s="7" t="s">
        <v>1046</v>
      </c>
      <c r="C324" s="8">
        <v>-258312.51</v>
      </c>
      <c r="D324" s="7" t="s">
        <v>1047</v>
      </c>
      <c r="E324" s="7" t="s">
        <v>1048</v>
      </c>
      <c r="F324" s="8">
        <v>258312.51</v>
      </c>
      <c r="G324" s="4">
        <f>ABS(C324)-ABS(F324)</f>
        <v>0</v>
      </c>
      <c r="H324" s="7">
        <f>IF(ABS(G324)&lt;0.1,"OK","REVISAR")</f>
        <v>0</v>
      </c>
    </row>
    <row r="325" spans="1:8">
      <c r="A325" s="5" t="s">
        <v>1049</v>
      </c>
      <c r="B325" s="5" t="s">
        <v>1050</v>
      </c>
      <c r="C325" s="6">
        <v>0</v>
      </c>
      <c r="D325" s="5"/>
      <c r="E325" s="5"/>
      <c r="F325" s="5"/>
      <c r="G325" s="5"/>
      <c r="H325" s="5"/>
    </row>
    <row r="326" spans="1:8">
      <c r="A326" s="7" t="s">
        <v>1051</v>
      </c>
      <c r="B326" s="7" t="s">
        <v>1052</v>
      </c>
      <c r="C326" s="8">
        <v>0</v>
      </c>
      <c r="D326" s="7" t="s">
        <v>1053</v>
      </c>
      <c r="E326" s="7" t="s">
        <v>95</v>
      </c>
      <c r="F326" s="8">
        <v>0</v>
      </c>
      <c r="G326" s="4">
        <f>ABS(C326)-ABS(F326)</f>
        <v>0</v>
      </c>
      <c r="H326" s="7">
        <f>IF(ABS(G326)&lt;0.1,"OK","REVISAR")</f>
        <v>0</v>
      </c>
    </row>
    <row r="327" spans="1:8">
      <c r="A327" s="5" t="s">
        <v>1054</v>
      </c>
      <c r="B327" s="5" t="s">
        <v>1055</v>
      </c>
      <c r="C327" s="6">
        <v>-3502.09</v>
      </c>
      <c r="D327" s="5"/>
      <c r="E327" s="5"/>
      <c r="F327" s="5"/>
      <c r="G327" s="5"/>
      <c r="H327" s="5"/>
    </row>
    <row r="328" spans="1:8">
      <c r="A328" s="7" t="s">
        <v>1056</v>
      </c>
      <c r="B328" s="7" t="s">
        <v>1057</v>
      </c>
      <c r="C328" s="8">
        <v>-3502.09</v>
      </c>
      <c r="D328" s="7" t="s">
        <v>1058</v>
      </c>
      <c r="E328" s="7" t="s">
        <v>1059</v>
      </c>
      <c r="F328" s="8">
        <v>12660.2617</v>
      </c>
      <c r="G328" s="4">
        <f>ABS(C328)-ABS(F328)</f>
        <v>0</v>
      </c>
      <c r="H328" s="7">
        <f>IF(ABS(G328)&lt;0.1,"OK","REVISAR")</f>
        <v>0</v>
      </c>
    </row>
    <row r="329" spans="1:8">
      <c r="A329" s="2" t="s">
        <v>1060</v>
      </c>
      <c r="B329" s="2" t="s">
        <v>1061</v>
      </c>
      <c r="C329" s="3">
        <v>-165549.27</v>
      </c>
      <c r="D329" s="2" t="s">
        <v>1062</v>
      </c>
      <c r="E329" s="2" t="s">
        <v>1063</v>
      </c>
      <c r="F329" s="3">
        <v>68675.42999999999</v>
      </c>
      <c r="G329" s="4">
        <f>ABS(C329)-ABS(F329)</f>
        <v>0</v>
      </c>
      <c r="H329" s="2">
        <f>IF(ABS(G329)&lt;0.1,"OK","REVISAR")</f>
        <v>0</v>
      </c>
    </row>
    <row r="330" spans="1:8">
      <c r="A330" s="5" t="s">
        <v>1064</v>
      </c>
      <c r="B330" s="5" t="s">
        <v>1065</v>
      </c>
      <c r="C330" s="6">
        <v>-44000.13</v>
      </c>
      <c r="D330" s="5"/>
      <c r="E330" s="5"/>
      <c r="F330" s="5"/>
      <c r="G330" s="5"/>
      <c r="H330" s="5"/>
    </row>
    <row r="331" spans="1:8">
      <c r="A331" s="7" t="s">
        <v>1066</v>
      </c>
      <c r="B331" s="7" t="s">
        <v>1067</v>
      </c>
      <c r="C331" s="8">
        <v>-44000.13</v>
      </c>
      <c r="D331" s="7" t="s">
        <v>1068</v>
      </c>
      <c r="E331" s="7" t="s">
        <v>1069</v>
      </c>
      <c r="F331" s="8">
        <v>43693.53</v>
      </c>
      <c r="G331" s="4">
        <f>ABS(C331)-ABS(F331)</f>
        <v>0</v>
      </c>
      <c r="H331" s="7">
        <f>IF(ABS(G331)&lt;0.1,"OK","REVISAR")</f>
        <v>0</v>
      </c>
    </row>
    <row r="332" spans="1:8">
      <c r="A332" s="5" t="s">
        <v>1070</v>
      </c>
      <c r="B332" s="5" t="s">
        <v>1071</v>
      </c>
      <c r="C332" s="6">
        <v>207.76</v>
      </c>
      <c r="D332" s="5"/>
      <c r="E332" s="5"/>
      <c r="F332" s="5"/>
      <c r="G332" s="5"/>
      <c r="H332" s="5"/>
    </row>
    <row r="333" spans="1:8">
      <c r="A333" s="7" t="s">
        <v>1072</v>
      </c>
      <c r="B333" s="7" t="s">
        <v>1073</v>
      </c>
      <c r="C333" s="8">
        <v>207.76</v>
      </c>
      <c r="D333" s="7" t="s">
        <v>1074</v>
      </c>
      <c r="E333" s="7" t="s">
        <v>1075</v>
      </c>
      <c r="F333" s="8">
        <v>98.84</v>
      </c>
      <c r="G333" s="4">
        <f>ABS(C333)-ABS(F333)</f>
        <v>0</v>
      </c>
      <c r="H333" s="7">
        <f>IF(ABS(G333)&lt;0.1,"OK","REVISAR")</f>
        <v>0</v>
      </c>
    </row>
    <row r="334" spans="1:8">
      <c r="A334" s="7" t="s">
        <v>1076</v>
      </c>
      <c r="B334" s="7" t="s">
        <v>1077</v>
      </c>
      <c r="C334" s="8">
        <v>0</v>
      </c>
      <c r="D334" s="7" t="s">
        <v>1078</v>
      </c>
      <c r="E334" s="7" t="s">
        <v>95</v>
      </c>
      <c r="F334" s="8">
        <v>0</v>
      </c>
      <c r="G334" s="4">
        <f>ABS(C334)-ABS(F334)</f>
        <v>0</v>
      </c>
      <c r="H334" s="7">
        <f>IF(ABS(G334)&lt;0.1,"OK","REVISAR")</f>
        <v>0</v>
      </c>
    </row>
    <row r="335" spans="1:8">
      <c r="A335" s="5" t="s">
        <v>1079</v>
      </c>
      <c r="B335" s="5" t="s">
        <v>1080</v>
      </c>
      <c r="C335" s="6">
        <v>0</v>
      </c>
      <c r="D335" s="5"/>
      <c r="E335" s="5"/>
      <c r="F335" s="5"/>
      <c r="G335" s="5"/>
      <c r="H335" s="5"/>
    </row>
    <row r="336" spans="1:8">
      <c r="A336" s="5" t="s">
        <v>1081</v>
      </c>
      <c r="B336" s="5" t="s">
        <v>1082</v>
      </c>
      <c r="C336" s="6">
        <v>0</v>
      </c>
      <c r="D336" s="5"/>
      <c r="E336" s="5"/>
      <c r="F336" s="5"/>
      <c r="G336" s="5"/>
      <c r="H336" s="5"/>
    </row>
    <row r="337" spans="1:8">
      <c r="A337" s="5" t="s">
        <v>1083</v>
      </c>
      <c r="B337" s="5" t="s">
        <v>1084</v>
      </c>
      <c r="C337" s="6">
        <v>32684.37000000001</v>
      </c>
      <c r="D337" s="5"/>
      <c r="E337" s="5"/>
      <c r="F337" s="5"/>
      <c r="G337" s="5"/>
      <c r="H337" s="5"/>
    </row>
    <row r="338" spans="1:8">
      <c r="A338" s="7" t="s">
        <v>1085</v>
      </c>
      <c r="B338" s="7" t="s">
        <v>1086</v>
      </c>
      <c r="C338" s="8">
        <v>33824.12</v>
      </c>
      <c r="D338" s="7" t="s">
        <v>1087</v>
      </c>
      <c r="E338" s="7" t="s">
        <v>1088</v>
      </c>
      <c r="F338" s="8">
        <v>917.96</v>
      </c>
      <c r="G338" s="4">
        <f>ABS(C338)-ABS(F338)</f>
        <v>0</v>
      </c>
      <c r="H338" s="7">
        <f>IF(ABS(G338)&lt;0.1,"OK","REVISAR")</f>
        <v>0</v>
      </c>
    </row>
    <row r="339" spans="1:8">
      <c r="A339" s="2" t="s">
        <v>14</v>
      </c>
      <c r="B339" s="2" t="s">
        <v>1089</v>
      </c>
      <c r="C339" s="3">
        <v>-188.52</v>
      </c>
      <c r="D339" s="2" t="s">
        <v>1090</v>
      </c>
      <c r="E339" s="2" t="s">
        <v>1091</v>
      </c>
      <c r="F339" s="3">
        <v>4298.18</v>
      </c>
      <c r="G339" s="4">
        <f>ABS(C339)-ABS(F339)</f>
        <v>0</v>
      </c>
      <c r="H339" s="2">
        <f>IF(ABS(G339)&lt;0.1,"OK","REVISAR")</f>
        <v>0</v>
      </c>
    </row>
    <row r="340" spans="1:8">
      <c r="A340" s="7" t="s">
        <v>1092</v>
      </c>
      <c r="B340" s="7" t="s">
        <v>1093</v>
      </c>
      <c r="C340" s="8">
        <v>-539.27</v>
      </c>
      <c r="D340" s="7" t="s">
        <v>1090</v>
      </c>
      <c r="E340" s="7" t="s">
        <v>1091</v>
      </c>
      <c r="F340" s="7"/>
      <c r="G340" s="7"/>
      <c r="H340" s="7"/>
    </row>
    <row r="341" spans="1:8">
      <c r="A341" s="5" t="s">
        <v>1094</v>
      </c>
      <c r="B341" s="5" t="s">
        <v>1095</v>
      </c>
      <c r="C341" s="6">
        <v>-600.48</v>
      </c>
      <c r="D341" s="5"/>
      <c r="E341" s="5"/>
      <c r="F341" s="5"/>
      <c r="G341" s="5"/>
      <c r="H341" s="5"/>
    </row>
    <row r="342" spans="1:8">
      <c r="A342" s="5" t="s">
        <v>1096</v>
      </c>
      <c r="B342" s="5" t="s">
        <v>1097</v>
      </c>
      <c r="C342" s="6">
        <v>-99013.59999999998</v>
      </c>
      <c r="D342" s="5"/>
      <c r="E342" s="5"/>
      <c r="F342" s="5"/>
      <c r="G342" s="5"/>
      <c r="H342" s="5"/>
    </row>
    <row r="343" spans="1:8">
      <c r="A343" s="5" t="s">
        <v>1098</v>
      </c>
      <c r="B343" s="5" t="s">
        <v>1099</v>
      </c>
      <c r="C343" s="6">
        <v>5124.12</v>
      </c>
      <c r="D343" s="5"/>
      <c r="E343" s="5"/>
      <c r="F343" s="5"/>
      <c r="G343" s="5"/>
      <c r="H343" s="5"/>
    </row>
    <row r="344" spans="1:8">
      <c r="A344" s="5" t="s">
        <v>1100</v>
      </c>
      <c r="B344" s="5" t="s">
        <v>1097</v>
      </c>
      <c r="C344" s="6">
        <v>6150.04</v>
      </c>
      <c r="D344" s="5"/>
      <c r="E344" s="5"/>
      <c r="F344" s="5"/>
      <c r="G344" s="5"/>
      <c r="H344" s="5"/>
    </row>
    <row r="345" spans="1:8">
      <c r="A345" s="7" t="s">
        <v>1101</v>
      </c>
      <c r="B345" s="7" t="s">
        <v>1102</v>
      </c>
      <c r="C345" s="8">
        <v>153534.7</v>
      </c>
      <c r="D345" s="7" t="s">
        <v>1103</v>
      </c>
      <c r="E345" s="7" t="s">
        <v>1104</v>
      </c>
      <c r="F345" s="8">
        <v>17876.56</v>
      </c>
      <c r="G345" s="4">
        <f>ABS(C345)-ABS(F345)</f>
        <v>0</v>
      </c>
      <c r="H345" s="7">
        <f>IF(ABS(G345)&lt;0.1,"OK","REVISAR")</f>
        <v>0</v>
      </c>
    </row>
    <row r="346" spans="1:8">
      <c r="A346" s="7" t="s">
        <v>1105</v>
      </c>
      <c r="B346" s="7" t="s">
        <v>1106</v>
      </c>
      <c r="C346" s="8">
        <v>850.09</v>
      </c>
      <c r="D346" s="7" t="s">
        <v>1107</v>
      </c>
      <c r="E346" s="7" t="s">
        <v>1108</v>
      </c>
      <c r="F346" s="8">
        <v>652.25</v>
      </c>
      <c r="G346" s="4">
        <f>ABS(C346)-ABS(F346)</f>
        <v>0</v>
      </c>
      <c r="H346" s="7">
        <f>IF(ABS(G346)&lt;0.1,"OK","REVISAR")</f>
        <v>0</v>
      </c>
    </row>
    <row r="347" spans="1:8">
      <c r="A347" s="7" t="s">
        <v>1109</v>
      </c>
      <c r="B347" s="7" t="s">
        <v>1110</v>
      </c>
      <c r="C347" s="8">
        <v>-91650.12</v>
      </c>
      <c r="D347" s="7" t="s">
        <v>1111</v>
      </c>
      <c r="E347" s="7" t="s">
        <v>1112</v>
      </c>
      <c r="F347" s="8">
        <v>6726.48</v>
      </c>
      <c r="G347" s="4">
        <f>ABS(C347)-ABS(F347)</f>
        <v>0</v>
      </c>
      <c r="H347" s="7">
        <f>IF(ABS(G347)&lt;0.1,"OK","REVISAR")</f>
        <v>0</v>
      </c>
    </row>
    <row r="348" spans="1:8">
      <c r="A348" s="7" t="s">
        <v>1113</v>
      </c>
      <c r="B348" s="7" t="s">
        <v>1114</v>
      </c>
      <c r="C348" s="8">
        <v>350.75</v>
      </c>
      <c r="D348" s="7" t="s">
        <v>1090</v>
      </c>
      <c r="E348" s="7" t="s">
        <v>1091</v>
      </c>
      <c r="F348" s="7"/>
      <c r="G348" s="7"/>
      <c r="H348" s="7"/>
    </row>
    <row r="349" spans="1:8">
      <c r="A349" s="5" t="s">
        <v>1115</v>
      </c>
      <c r="B349" s="5" t="s">
        <v>1116</v>
      </c>
      <c r="C349" s="6">
        <v>-252748.18</v>
      </c>
      <c r="D349" s="5"/>
      <c r="E349" s="5"/>
      <c r="F349" s="5"/>
      <c r="G349" s="5"/>
      <c r="H349" s="5"/>
    </row>
    <row r="350" spans="1:8">
      <c r="A350" s="7" t="s">
        <v>1117</v>
      </c>
      <c r="B350" s="7" t="s">
        <v>1118</v>
      </c>
      <c r="C350" s="8">
        <v>79375</v>
      </c>
      <c r="D350" s="7" t="s">
        <v>1119</v>
      </c>
      <c r="E350" s="7" t="s">
        <v>95</v>
      </c>
      <c r="F350" s="8">
        <v>0</v>
      </c>
      <c r="G350" s="4">
        <f>ABS(C350)-ABS(F350)</f>
        <v>0</v>
      </c>
      <c r="H350" s="7">
        <f>IF(ABS(G350)&lt;0.1,"OK","REVISAR")</f>
        <v>0</v>
      </c>
    </row>
    <row r="351" spans="1:8">
      <c r="A351" s="5" t="s">
        <v>1120</v>
      </c>
      <c r="B351" s="5" t="s">
        <v>1121</v>
      </c>
      <c r="C351" s="6">
        <v>-55427.67</v>
      </c>
      <c r="D351" s="5"/>
      <c r="E351" s="5"/>
      <c r="F351" s="5"/>
      <c r="G351" s="5"/>
      <c r="H351" s="5"/>
    </row>
    <row r="352" spans="1:8">
      <c r="A352" s="7" t="s">
        <v>1122</v>
      </c>
      <c r="B352" s="7" t="s">
        <v>1123</v>
      </c>
      <c r="C352" s="8">
        <v>-55427.67</v>
      </c>
      <c r="D352" s="7" t="s">
        <v>1124</v>
      </c>
      <c r="E352" s="7" t="s">
        <v>1125</v>
      </c>
      <c r="F352" s="8">
        <v>-5588.37</v>
      </c>
      <c r="G352" s="4">
        <f>ABS(C352)-ABS(F352)</f>
        <v>0</v>
      </c>
      <c r="H352" s="7">
        <f>IF(ABS(G352)&lt;0.1,"OK","REVISAR")</f>
        <v>0</v>
      </c>
    </row>
    <row r="353" spans="1:8">
      <c r="A353" s="2" t="s">
        <v>1126</v>
      </c>
      <c r="B353" s="2" t="s">
        <v>1127</v>
      </c>
      <c r="C353" s="3">
        <v>-2899094.18</v>
      </c>
      <c r="D353" s="2" t="s">
        <v>1128</v>
      </c>
      <c r="E353" s="2" t="s">
        <v>1129</v>
      </c>
      <c r="F353" s="3">
        <v>4607838.3312</v>
      </c>
      <c r="G353" s="4">
        <f>ABS(C353)-ABS(F353)</f>
        <v>0</v>
      </c>
      <c r="H353" s="2">
        <f>IF(ABS(G353)&lt;0.1,"OK","REVISAR")</f>
        <v>0</v>
      </c>
    </row>
    <row r="354" spans="1:8">
      <c r="A354" s="5" t="s">
        <v>1130</v>
      </c>
      <c r="B354" s="5" t="s">
        <v>1131</v>
      </c>
      <c r="C354" s="6">
        <v>-2899094.18</v>
      </c>
      <c r="D354" s="5"/>
      <c r="E354" s="5"/>
      <c r="F354" s="5"/>
      <c r="G354" s="5"/>
      <c r="H354" s="5"/>
    </row>
    <row r="355" spans="1:8">
      <c r="A355" s="7" t="s">
        <v>1132</v>
      </c>
      <c r="B355" s="7" t="s">
        <v>1133</v>
      </c>
      <c r="C355" s="8">
        <v>0</v>
      </c>
      <c r="D355" s="7" t="s">
        <v>1134</v>
      </c>
      <c r="E355" s="7" t="s">
        <v>95</v>
      </c>
      <c r="F355" s="8">
        <v>0</v>
      </c>
      <c r="G355" s="4">
        <f>ABS(C355)-ABS(F355)</f>
        <v>0</v>
      </c>
      <c r="H355" s="7">
        <f>IF(ABS(G355)&lt;0.1,"OK","REVISAR")</f>
        <v>0</v>
      </c>
    </row>
    <row r="356" spans="1:8">
      <c r="A356" s="7" t="s">
        <v>1135</v>
      </c>
      <c r="B356" s="7" t="s">
        <v>1136</v>
      </c>
      <c r="C356" s="8">
        <v>0</v>
      </c>
      <c r="D356" s="7" t="s">
        <v>1137</v>
      </c>
      <c r="E356" s="7" t="s">
        <v>880</v>
      </c>
      <c r="F356" s="8">
        <v>25000</v>
      </c>
      <c r="G356" s="4">
        <f>ABS(C356)-ABS(F356)</f>
        <v>0</v>
      </c>
      <c r="H356" s="7">
        <f>IF(ABS(G356)&lt;0.1,"OK","REVISAR")</f>
        <v>0</v>
      </c>
    </row>
    <row r="357" spans="1:8">
      <c r="A357" s="7" t="s">
        <v>1138</v>
      </c>
      <c r="B357" s="7" t="s">
        <v>1139</v>
      </c>
      <c r="C357" s="8">
        <v>-2599932.1</v>
      </c>
      <c r="D357" s="7" t="s">
        <v>1140</v>
      </c>
      <c r="E357" s="7" t="s">
        <v>1141</v>
      </c>
      <c r="F357" s="8">
        <v>2624932.1</v>
      </c>
      <c r="G357" s="4">
        <f>ABS(C357)-ABS(F357)</f>
        <v>0</v>
      </c>
      <c r="H357" s="7">
        <f>IF(ABS(G357)&lt;0.1,"OK","REVISAR")</f>
        <v>0</v>
      </c>
    </row>
    <row r="358" spans="1:8">
      <c r="A358" s="7" t="s">
        <v>1142</v>
      </c>
      <c r="B358" s="7" t="s">
        <v>1143</v>
      </c>
      <c r="C358" s="8">
        <v>-299162.08</v>
      </c>
      <c r="D358" s="7" t="s">
        <v>1144</v>
      </c>
      <c r="E358" s="7" t="s">
        <v>1145</v>
      </c>
      <c r="F358" s="8">
        <v>299162.07</v>
      </c>
      <c r="G358" s="4">
        <f>ABS(C358)-ABS(F358)</f>
        <v>0</v>
      </c>
      <c r="H358" s="7">
        <f>IF(ABS(G358)&lt;0.1,"OK","REVISAR")</f>
        <v>0</v>
      </c>
    </row>
    <row r="359" spans="1:8">
      <c r="A359" s="5" t="s">
        <v>1146</v>
      </c>
      <c r="B359" s="5" t="s">
        <v>1147</v>
      </c>
      <c r="C359" s="6">
        <v>0</v>
      </c>
      <c r="D359" s="5"/>
      <c r="E359" s="5"/>
      <c r="F359" s="5"/>
      <c r="G359" s="5"/>
      <c r="H359" s="5"/>
    </row>
    <row r="360" spans="1:8">
      <c r="A360" s="7" t="s">
        <v>1148</v>
      </c>
      <c r="B360" s="7" t="s">
        <v>1149</v>
      </c>
      <c r="C360" s="8">
        <v>0</v>
      </c>
      <c r="D360" s="7" t="s">
        <v>1150</v>
      </c>
      <c r="E360" s="7" t="s">
        <v>1151</v>
      </c>
      <c r="F360" s="8">
        <v>0</v>
      </c>
      <c r="G360" s="4">
        <f>ABS(C360)-ABS(F360)</f>
        <v>0</v>
      </c>
      <c r="H360" s="7">
        <f>IF(ABS(G360)&lt;0.1,"OK","REVISAR")</f>
        <v>0</v>
      </c>
    </row>
    <row r="361" spans="1:8">
      <c r="A361" s="7" t="s">
        <v>1152</v>
      </c>
      <c r="B361" s="7" t="s">
        <v>1153</v>
      </c>
      <c r="C361" s="8">
        <v>0</v>
      </c>
      <c r="D361" s="7" t="s">
        <v>1154</v>
      </c>
      <c r="E361" s="7" t="s">
        <v>1155</v>
      </c>
      <c r="F361" s="8">
        <v>0</v>
      </c>
      <c r="G361" s="4">
        <f>ABS(C361)-ABS(F361)</f>
        <v>0</v>
      </c>
      <c r="H361" s="7">
        <f>IF(ABS(G361)&lt;0.1,"OK","REVISAR")</f>
        <v>0</v>
      </c>
    </row>
    <row r="362" spans="1:8">
      <c r="A362" s="5" t="s">
        <v>1156</v>
      </c>
      <c r="B362" s="5" t="s">
        <v>1157</v>
      </c>
      <c r="C362" s="6">
        <v>-5500000</v>
      </c>
      <c r="D362" s="5"/>
      <c r="E362" s="5"/>
      <c r="F362" s="5"/>
      <c r="G362" s="5"/>
      <c r="H362" s="5"/>
    </row>
    <row r="363" spans="1:8">
      <c r="A363" s="5" t="s">
        <v>1158</v>
      </c>
      <c r="B363" s="5" t="s">
        <v>1159</v>
      </c>
      <c r="C363" s="6">
        <v>-50000</v>
      </c>
      <c r="D363" s="5"/>
      <c r="E363" s="5"/>
      <c r="F363" s="5"/>
      <c r="G363" s="5"/>
      <c r="H363" s="5"/>
    </row>
    <row r="364" spans="1:8">
      <c r="A364" s="7" t="s">
        <v>1160</v>
      </c>
      <c r="B364" s="7" t="s">
        <v>1161</v>
      </c>
      <c r="C364" s="8">
        <v>-50000</v>
      </c>
      <c r="D364" s="7" t="s">
        <v>1162</v>
      </c>
      <c r="E364" s="7" t="s">
        <v>1163</v>
      </c>
      <c r="F364" s="8">
        <v>50000</v>
      </c>
      <c r="G364" s="4">
        <f>ABS(C364)-ABS(F364)</f>
        <v>0</v>
      </c>
      <c r="H364" s="7">
        <f>IF(ABS(G364)&lt;0.1,"OK","REVISAR")</f>
        <v>0</v>
      </c>
    </row>
    <row r="365" spans="1:8">
      <c r="A365" s="5" t="s">
        <v>1164</v>
      </c>
      <c r="B365" s="5" t="s">
        <v>1165</v>
      </c>
      <c r="C365" s="6">
        <v>-5450000</v>
      </c>
      <c r="D365" s="5"/>
      <c r="E365" s="5"/>
      <c r="F365" s="5"/>
      <c r="G365" s="5"/>
      <c r="H365" s="5"/>
    </row>
    <row r="366" spans="1:8">
      <c r="A366" s="7" t="s">
        <v>1166</v>
      </c>
      <c r="B366" s="7" t="s">
        <v>1167</v>
      </c>
      <c r="C366" s="8">
        <v>-5450000</v>
      </c>
      <c r="D366" s="7" t="s">
        <v>1168</v>
      </c>
      <c r="E366" s="7" t="s">
        <v>1169</v>
      </c>
      <c r="F366" s="8">
        <v>5450000</v>
      </c>
      <c r="G366" s="4">
        <f>ABS(C366)-ABS(F366)</f>
        <v>0</v>
      </c>
      <c r="H366" s="7">
        <f>IF(ABS(G366)&lt;0.1,"OK","REVISAR")</f>
        <v>0</v>
      </c>
    </row>
    <row r="367" spans="1:8">
      <c r="A367" s="5" t="s">
        <v>1170</v>
      </c>
      <c r="B367" s="5" t="s">
        <v>1171</v>
      </c>
      <c r="C367" s="6">
        <v>31332.22</v>
      </c>
      <c r="D367" s="5"/>
      <c r="E367" s="5"/>
      <c r="F367" s="5"/>
      <c r="G367" s="5"/>
      <c r="H367" s="5"/>
    </row>
    <row r="368" spans="1:8">
      <c r="A368" s="5" t="s">
        <v>1172</v>
      </c>
      <c r="B368" s="5" t="s">
        <v>1173</v>
      </c>
      <c r="C368" s="6">
        <v>31332.22</v>
      </c>
      <c r="D368" s="5"/>
      <c r="E368" s="5"/>
      <c r="F368" s="5"/>
      <c r="G368" s="5"/>
      <c r="H368" s="5"/>
    </row>
    <row r="369" spans="1:8">
      <c r="A369" s="5" t="s">
        <v>1174</v>
      </c>
      <c r="B369" s="5" t="s">
        <v>1173</v>
      </c>
      <c r="C369" s="6">
        <v>31332.22</v>
      </c>
      <c r="D369" s="5"/>
      <c r="E369" s="5"/>
      <c r="F369" s="5"/>
      <c r="G369" s="5"/>
      <c r="H369" s="5"/>
    </row>
    <row r="370" spans="1:8">
      <c r="A370" s="5" t="s">
        <v>1175</v>
      </c>
      <c r="B370" s="5" t="s">
        <v>1176</v>
      </c>
      <c r="C370" s="6">
        <v>5327458</v>
      </c>
      <c r="D370" s="5"/>
      <c r="E370" s="5"/>
      <c r="F370" s="5"/>
      <c r="G370" s="5"/>
      <c r="H370" s="5"/>
    </row>
    <row r="371" spans="1:8">
      <c r="A371" s="5" t="s">
        <v>1177</v>
      </c>
      <c r="B371" s="5" t="s">
        <v>1178</v>
      </c>
      <c r="C371" s="6">
        <v>5327458</v>
      </c>
      <c r="D371" s="5"/>
      <c r="E371" s="5"/>
      <c r="F371" s="5"/>
      <c r="G371" s="5"/>
      <c r="H371" s="5"/>
    </row>
    <row r="372" spans="1:8">
      <c r="A372" s="5" t="s">
        <v>1179</v>
      </c>
      <c r="B372" s="5" t="s">
        <v>1180</v>
      </c>
      <c r="C372" s="6">
        <v>5327458</v>
      </c>
      <c r="D372" s="5"/>
      <c r="E372" s="5"/>
      <c r="F372" s="5"/>
      <c r="G372" s="5"/>
      <c r="H372" s="5"/>
    </row>
    <row r="373" spans="1:8">
      <c r="A373" s="2" t="s">
        <v>1181</v>
      </c>
      <c r="B373" s="2" t="s">
        <v>1182</v>
      </c>
      <c r="C373" s="3">
        <v>-5835231.14</v>
      </c>
      <c r="D373" s="2" t="s">
        <v>1183</v>
      </c>
      <c r="E373" s="2" t="s">
        <v>1184</v>
      </c>
      <c r="F373" s="3">
        <v>36812832.29</v>
      </c>
      <c r="G373" s="4">
        <f>ABS(C373)-ABS(F373)</f>
        <v>0</v>
      </c>
      <c r="H373" s="2">
        <f>IF(ABS(G373)&lt;0.1,"OK","REVISAR")</f>
        <v>0</v>
      </c>
    </row>
    <row r="374" spans="1:8">
      <c r="A374" s="5" t="s">
        <v>1185</v>
      </c>
      <c r="B374" s="5" t="s">
        <v>1186</v>
      </c>
      <c r="C374" s="6">
        <v>-5136342.149999999</v>
      </c>
      <c r="D374" s="5"/>
      <c r="E374" s="5"/>
      <c r="F374" s="5"/>
      <c r="G374" s="5"/>
      <c r="H374" s="5"/>
    </row>
    <row r="375" spans="1:8">
      <c r="A375" s="5" t="s">
        <v>1187</v>
      </c>
      <c r="B375" s="5" t="s">
        <v>1186</v>
      </c>
      <c r="C375" s="6">
        <v>-4712189.91</v>
      </c>
      <c r="D375" s="5"/>
      <c r="E375" s="5"/>
      <c r="F375" s="5"/>
      <c r="G375" s="5"/>
      <c r="H375" s="5"/>
    </row>
    <row r="376" spans="1:8">
      <c r="A376" s="2" t="s">
        <v>14</v>
      </c>
      <c r="B376" s="2" t="s">
        <v>1188</v>
      </c>
      <c r="C376" s="3">
        <v>-153962.1</v>
      </c>
      <c r="D376" s="2" t="s">
        <v>1189</v>
      </c>
      <c r="E376" s="2" t="s">
        <v>1190</v>
      </c>
      <c r="F376" s="3">
        <v>31900970.55</v>
      </c>
      <c r="G376" s="4">
        <f>ABS(C376)-ABS(F376)</f>
        <v>0</v>
      </c>
      <c r="H376" s="2">
        <f>IF(ABS(G376)&lt;0.1,"OK","REVISAR")</f>
        <v>0</v>
      </c>
    </row>
    <row r="377" spans="1:8">
      <c r="A377" s="7" t="s">
        <v>1191</v>
      </c>
      <c r="B377" s="7" t="s">
        <v>1192</v>
      </c>
      <c r="C377" s="8">
        <v>-129757.67</v>
      </c>
      <c r="D377" s="7" t="s">
        <v>1189</v>
      </c>
      <c r="E377" s="7" t="s">
        <v>1190</v>
      </c>
      <c r="F377" s="7"/>
      <c r="G377" s="7"/>
      <c r="H377" s="7"/>
    </row>
    <row r="378" spans="1:8">
      <c r="A378" s="5" t="s">
        <v>1193</v>
      </c>
      <c r="B378" s="5" t="s">
        <v>1194</v>
      </c>
      <c r="C378" s="6">
        <v>-270190.14</v>
      </c>
      <c r="D378" s="5"/>
      <c r="E378" s="5"/>
      <c r="F378" s="5"/>
      <c r="G378" s="5"/>
      <c r="H378" s="5"/>
    </row>
    <row r="379" spans="1:8">
      <c r="A379" s="7" t="s">
        <v>1195</v>
      </c>
      <c r="B379" s="7" t="s">
        <v>1196</v>
      </c>
      <c r="C379" s="8">
        <v>-24204.43</v>
      </c>
      <c r="D379" s="7" t="s">
        <v>1189</v>
      </c>
      <c r="E379" s="7" t="s">
        <v>1190</v>
      </c>
      <c r="F379" s="7"/>
      <c r="G379" s="7"/>
      <c r="H379" s="7"/>
    </row>
    <row r="380" spans="1:8">
      <c r="A380" s="5" t="s">
        <v>1197</v>
      </c>
      <c r="B380" s="5" t="s">
        <v>1198</v>
      </c>
      <c r="C380" s="6">
        <v>-698888.99</v>
      </c>
      <c r="D380" s="5"/>
      <c r="E380" s="5"/>
      <c r="F380" s="5"/>
      <c r="G380" s="5"/>
      <c r="H380" s="5"/>
    </row>
    <row r="381" spans="1:8">
      <c r="A381" s="2" t="s">
        <v>1199</v>
      </c>
      <c r="B381" s="2" t="s">
        <v>1200</v>
      </c>
      <c r="C381" s="3">
        <v>-698888.99</v>
      </c>
      <c r="D381" s="2" t="s">
        <v>1201</v>
      </c>
      <c r="E381" s="2" t="s">
        <v>1202</v>
      </c>
      <c r="F381" s="3">
        <v>4911861.74</v>
      </c>
      <c r="G381" s="4">
        <f>ABS(C381)-ABS(F381)</f>
        <v>0</v>
      </c>
      <c r="H381" s="2">
        <f>IF(ABS(G381)&lt;0.1,"OK","REVISAR")</f>
        <v>0</v>
      </c>
    </row>
    <row r="382" spans="1:8">
      <c r="A382" s="2" t="s">
        <v>1203</v>
      </c>
      <c r="B382" s="2" t="s">
        <v>1204</v>
      </c>
      <c r="C382" s="3">
        <v>2920402.1</v>
      </c>
      <c r="D382" s="2" t="s">
        <v>1205</v>
      </c>
      <c r="E382" s="2" t="s">
        <v>1206</v>
      </c>
      <c r="F382" s="3">
        <v>14446076.7687</v>
      </c>
      <c r="G382" s="4">
        <f>ABS(C382)-ABS(F382)</f>
        <v>0</v>
      </c>
      <c r="H382" s="2">
        <f>IF(ABS(G382)&lt;0.1,"OK","REVISAR")</f>
        <v>0</v>
      </c>
    </row>
    <row r="383" spans="1:8">
      <c r="A383" s="5" t="s">
        <v>1207</v>
      </c>
      <c r="B383" s="5" t="s">
        <v>1208</v>
      </c>
      <c r="C383" s="6">
        <v>2861427.46</v>
      </c>
      <c r="D383" s="5"/>
      <c r="E383" s="5"/>
      <c r="F383" s="5"/>
      <c r="G383" s="5"/>
      <c r="H383" s="5"/>
    </row>
    <row r="384" spans="1:8">
      <c r="A384" s="5" t="s">
        <v>1209</v>
      </c>
      <c r="B384" s="5" t="s">
        <v>1208</v>
      </c>
      <c r="C384" s="6">
        <v>2681736.26</v>
      </c>
      <c r="D384" s="5"/>
      <c r="E384" s="5"/>
      <c r="F384" s="5"/>
      <c r="G384" s="5"/>
      <c r="H384" s="5"/>
    </row>
    <row r="385" spans="1:8">
      <c r="A385" s="5" t="s">
        <v>1210</v>
      </c>
      <c r="B385" s="5" t="s">
        <v>1211</v>
      </c>
      <c r="C385" s="6">
        <v>179691.2</v>
      </c>
      <c r="D385" s="5"/>
      <c r="E385" s="5"/>
      <c r="F385" s="5"/>
      <c r="G385" s="5"/>
      <c r="H385" s="5"/>
    </row>
    <row r="386" spans="1:8">
      <c r="A386" s="2" t="s">
        <v>1212</v>
      </c>
      <c r="B386" s="2" t="s">
        <v>1213</v>
      </c>
      <c r="C386" s="3">
        <v>58974.64</v>
      </c>
      <c r="D386" s="2" t="s">
        <v>1214</v>
      </c>
      <c r="E386" s="2" t="s">
        <v>1215</v>
      </c>
      <c r="F386" s="3">
        <v>995620.02</v>
      </c>
      <c r="G386" s="4">
        <f>ABS(C386)-ABS(F386)</f>
        <v>0</v>
      </c>
      <c r="H386" s="2">
        <f>IF(ABS(G386)&lt;0.1,"OK","REVISAR")</f>
        <v>0</v>
      </c>
    </row>
    <row r="387" spans="1:8">
      <c r="A387" s="7" t="s">
        <v>1216</v>
      </c>
      <c r="B387" s="7" t="s">
        <v>1217</v>
      </c>
      <c r="C387" s="8">
        <v>7287</v>
      </c>
      <c r="D387" s="7" t="s">
        <v>1218</v>
      </c>
      <c r="E387" s="7" t="s">
        <v>1219</v>
      </c>
      <c r="F387" s="8">
        <v>31311.06</v>
      </c>
      <c r="G387" s="4">
        <f>ABS(C387)-ABS(F387)</f>
        <v>0</v>
      </c>
      <c r="H387" s="7">
        <f>IF(ABS(G387)&lt;0.1,"OK","REVISAR")</f>
        <v>0</v>
      </c>
    </row>
    <row r="388" spans="1:8">
      <c r="A388" s="7" t="s">
        <v>1220</v>
      </c>
      <c r="B388" s="7" t="s">
        <v>1221</v>
      </c>
      <c r="C388" s="8">
        <v>6315.94</v>
      </c>
      <c r="D388" s="7" t="s">
        <v>1222</v>
      </c>
      <c r="E388" s="7" t="s">
        <v>1223</v>
      </c>
      <c r="F388" s="8">
        <v>14055</v>
      </c>
      <c r="G388" s="4">
        <f>ABS(C388)-ABS(F388)</f>
        <v>0</v>
      </c>
      <c r="H388" s="7">
        <f>IF(ABS(G388)&lt;0.1,"OK","REVISAR")</f>
        <v>0</v>
      </c>
    </row>
    <row r="389" spans="1:8">
      <c r="A389" s="7" t="s">
        <v>1224</v>
      </c>
      <c r="B389" s="7" t="s">
        <v>1225</v>
      </c>
      <c r="C389" s="8">
        <v>10127.86</v>
      </c>
      <c r="D389" s="7" t="s">
        <v>1226</v>
      </c>
      <c r="E389" s="7" t="s">
        <v>1227</v>
      </c>
      <c r="F389" s="8">
        <v>143684.21</v>
      </c>
      <c r="G389" s="4">
        <f>ABS(C389)-ABS(F389)</f>
        <v>0</v>
      </c>
      <c r="H389" s="7">
        <f>IF(ABS(G389)&lt;0.1,"OK","REVISAR")</f>
        <v>0</v>
      </c>
    </row>
    <row r="390" spans="1:8">
      <c r="A390" s="2" t="s">
        <v>1228</v>
      </c>
      <c r="B390" s="2" t="s">
        <v>1229</v>
      </c>
      <c r="C390" s="3">
        <v>35243.84</v>
      </c>
      <c r="D390" s="2" t="s">
        <v>1230</v>
      </c>
      <c r="E390" s="2" t="s">
        <v>1231</v>
      </c>
      <c r="F390" s="3">
        <v>353432.99</v>
      </c>
      <c r="G390" s="4">
        <f>ABS(C390)-ABS(F390)</f>
        <v>0</v>
      </c>
      <c r="H390" s="2">
        <f>IF(ABS(G390)&lt;0.1,"OK","REVISAR")</f>
        <v>0</v>
      </c>
    </row>
    <row r="391" spans="1:8">
      <c r="A391" s="5" t="s">
        <v>1232</v>
      </c>
      <c r="B391" s="5" t="s">
        <v>1233</v>
      </c>
      <c r="C391" s="6">
        <v>0</v>
      </c>
      <c r="D391" s="5"/>
      <c r="E391" s="5"/>
      <c r="F391" s="5"/>
      <c r="G391" s="5"/>
      <c r="H391" s="5"/>
    </row>
    <row r="392" spans="1:8">
      <c r="A392" s="5" t="s">
        <v>1234</v>
      </c>
      <c r="B392" s="5" t="s">
        <v>1235</v>
      </c>
      <c r="C392" s="6">
        <v>0</v>
      </c>
      <c r="D392" s="5"/>
      <c r="E392" s="5"/>
      <c r="F392" s="5"/>
      <c r="G392" s="5"/>
      <c r="H392" s="5"/>
    </row>
    <row r="393" spans="1:8">
      <c r="A393" s="5" t="s">
        <v>1234</v>
      </c>
      <c r="B393" s="5" t="s">
        <v>1236</v>
      </c>
      <c r="C393" s="6">
        <v>0</v>
      </c>
      <c r="D393" s="5"/>
      <c r="E393" s="5"/>
      <c r="F393" s="5"/>
      <c r="G393" s="5"/>
      <c r="H393" s="5"/>
    </row>
    <row r="394" spans="1:8">
      <c r="A394" s="5" t="s">
        <v>1237</v>
      </c>
      <c r="B394" s="5" t="s">
        <v>1238</v>
      </c>
      <c r="C394" s="6">
        <v>-546888.9500000001</v>
      </c>
      <c r="D394" s="5"/>
      <c r="E394" s="5"/>
      <c r="F394" s="5"/>
      <c r="G394" s="5"/>
      <c r="H394" s="5"/>
    </row>
    <row r="395" spans="1:8">
      <c r="A395" s="5" t="s">
        <v>1239</v>
      </c>
      <c r="B395" s="5" t="s">
        <v>1240</v>
      </c>
      <c r="C395" s="6">
        <v>-546888.9500000001</v>
      </c>
      <c r="D395" s="5"/>
      <c r="E395" s="5"/>
      <c r="F395" s="5"/>
      <c r="G395" s="5"/>
      <c r="H395" s="5"/>
    </row>
    <row r="396" spans="1:8">
      <c r="A396" s="7" t="s">
        <v>1239</v>
      </c>
      <c r="B396" s="7" t="s">
        <v>1241</v>
      </c>
      <c r="C396" s="8">
        <v>-521612.59</v>
      </c>
      <c r="D396" s="7" t="s">
        <v>1242</v>
      </c>
      <c r="E396" s="7" t="s">
        <v>95</v>
      </c>
      <c r="F396" s="8">
        <v>0</v>
      </c>
      <c r="G396" s="4">
        <f>ABS(C396)-ABS(F396)</f>
        <v>0</v>
      </c>
      <c r="H396" s="7">
        <f>IF(ABS(G396)&lt;0.1,"OK","REVISAR")</f>
        <v>0</v>
      </c>
    </row>
    <row r="397" spans="1:8">
      <c r="A397" s="5" t="s">
        <v>1243</v>
      </c>
      <c r="B397" s="5" t="s">
        <v>1240</v>
      </c>
      <c r="C397" s="6">
        <v>-25276.36</v>
      </c>
      <c r="D397" s="5"/>
      <c r="E397" s="5"/>
      <c r="F397" s="5"/>
      <c r="G397" s="5"/>
      <c r="H397" s="5"/>
    </row>
    <row r="398" spans="1:8">
      <c r="A398" s="2" t="s">
        <v>1244</v>
      </c>
      <c r="B398" s="2" t="s">
        <v>1208</v>
      </c>
      <c r="C398" s="3">
        <v>1241878.38</v>
      </c>
      <c r="D398" s="2" t="s">
        <v>1245</v>
      </c>
      <c r="E398" s="2" t="s">
        <v>1246</v>
      </c>
      <c r="F398" s="3">
        <v>5991123.6295</v>
      </c>
      <c r="G398" s="4">
        <f>ABS(C398)-ABS(F398)</f>
        <v>0</v>
      </c>
      <c r="H398" s="2">
        <f>IF(ABS(G398)&lt;0.1,"OK","REVISAR")</f>
        <v>0</v>
      </c>
    </row>
    <row r="399" spans="1:8">
      <c r="A399" s="5" t="s">
        <v>1247</v>
      </c>
      <c r="B399" s="5" t="s">
        <v>1248</v>
      </c>
      <c r="C399" s="6">
        <v>441728.98</v>
      </c>
      <c r="D399" s="5"/>
      <c r="E399" s="5"/>
      <c r="F399" s="5"/>
      <c r="G399" s="5"/>
      <c r="H399" s="5"/>
    </row>
    <row r="400" spans="1:8">
      <c r="A400" s="7" t="s">
        <v>1249</v>
      </c>
      <c r="B400" s="7" t="s">
        <v>1250</v>
      </c>
      <c r="C400" s="8">
        <v>9150</v>
      </c>
      <c r="D400" s="7" t="s">
        <v>1251</v>
      </c>
      <c r="E400" s="7" t="s">
        <v>1252</v>
      </c>
      <c r="F400" s="8">
        <v>91100</v>
      </c>
      <c r="G400" s="4">
        <f>ABS(C400)-ABS(F400)</f>
        <v>0</v>
      </c>
      <c r="H400" s="7">
        <f>IF(ABS(G400)&lt;0.1,"OK","REVISAR")</f>
        <v>0</v>
      </c>
    </row>
    <row r="401" spans="1:8">
      <c r="A401" s="7" t="s">
        <v>1253</v>
      </c>
      <c r="B401" s="7" t="s">
        <v>1254</v>
      </c>
      <c r="C401" s="8">
        <v>432578.98</v>
      </c>
      <c r="D401" s="7" t="s">
        <v>1255</v>
      </c>
      <c r="E401" s="7" t="s">
        <v>1256</v>
      </c>
      <c r="F401" s="8">
        <v>1752344.96</v>
      </c>
      <c r="G401" s="4">
        <f>ABS(C401)-ABS(F401)</f>
        <v>0</v>
      </c>
      <c r="H401" s="7">
        <f>IF(ABS(G401)&lt;0.1,"OK","REVISAR")</f>
        <v>0</v>
      </c>
    </row>
    <row r="402" spans="1:8">
      <c r="A402" s="5" t="s">
        <v>1257</v>
      </c>
      <c r="B402" s="5" t="s">
        <v>1258</v>
      </c>
      <c r="C402" s="6">
        <v>18029.16</v>
      </c>
      <c r="D402" s="5"/>
      <c r="E402" s="5"/>
      <c r="F402" s="5"/>
      <c r="G402" s="5"/>
      <c r="H402" s="5"/>
    </row>
    <row r="403" spans="1:8">
      <c r="A403" s="7" t="s">
        <v>1259</v>
      </c>
      <c r="B403" s="7" t="s">
        <v>1260</v>
      </c>
      <c r="C403" s="8">
        <v>18029.16</v>
      </c>
      <c r="D403" s="7" t="s">
        <v>1261</v>
      </c>
      <c r="E403" s="7" t="s">
        <v>1262</v>
      </c>
      <c r="F403" s="8">
        <v>568392.38</v>
      </c>
      <c r="G403" s="4">
        <f>ABS(C403)-ABS(F403)</f>
        <v>0</v>
      </c>
      <c r="H403" s="7">
        <f>IF(ABS(G403)&lt;0.1,"OK","REVISAR")</f>
        <v>0</v>
      </c>
    </row>
    <row r="404" spans="1:8">
      <c r="A404" s="5" t="s">
        <v>1263</v>
      </c>
      <c r="B404" s="5" t="s">
        <v>1264</v>
      </c>
      <c r="C404" s="6">
        <v>6866.28</v>
      </c>
      <c r="D404" s="5"/>
      <c r="E404" s="5"/>
      <c r="F404" s="5"/>
      <c r="G404" s="5"/>
      <c r="H404" s="5"/>
    </row>
    <row r="405" spans="1:8">
      <c r="A405" s="7" t="s">
        <v>1265</v>
      </c>
      <c r="B405" s="7" t="s">
        <v>1266</v>
      </c>
      <c r="C405" s="8">
        <v>6866.28</v>
      </c>
      <c r="D405" s="7" t="s">
        <v>1267</v>
      </c>
      <c r="E405" s="7" t="s">
        <v>1268</v>
      </c>
      <c r="F405" s="8">
        <v>39876.26</v>
      </c>
      <c r="G405" s="4">
        <f>ABS(C405)-ABS(F405)</f>
        <v>0</v>
      </c>
      <c r="H405" s="7">
        <f>IF(ABS(G405)&lt;0.1,"OK","REVISAR")</f>
        <v>0</v>
      </c>
    </row>
    <row r="406" spans="1:8">
      <c r="A406" s="5" t="s">
        <v>1269</v>
      </c>
      <c r="B406" s="5" t="s">
        <v>1270</v>
      </c>
      <c r="C406" s="6">
        <v>775253.9600000001</v>
      </c>
      <c r="D406" s="5"/>
      <c r="E406" s="5"/>
      <c r="F406" s="5"/>
      <c r="G406" s="5"/>
      <c r="H406" s="5"/>
    </row>
    <row r="407" spans="1:8">
      <c r="A407" s="7" t="s">
        <v>1271</v>
      </c>
      <c r="B407" s="7" t="s">
        <v>1272</v>
      </c>
      <c r="C407" s="8">
        <v>237.29</v>
      </c>
      <c r="D407" s="7" t="s">
        <v>1273</v>
      </c>
      <c r="E407" s="7" t="s">
        <v>1274</v>
      </c>
      <c r="F407" s="8">
        <v>26303.2</v>
      </c>
      <c r="G407" s="4">
        <f>ABS(C407)-ABS(F407)</f>
        <v>0</v>
      </c>
      <c r="H407" s="7">
        <f>IF(ABS(G407)&lt;0.1,"OK","REVISAR")</f>
        <v>0</v>
      </c>
    </row>
    <row r="408" spans="1:8">
      <c r="A408" s="7" t="s">
        <v>1275</v>
      </c>
      <c r="B408" s="7" t="s">
        <v>1276</v>
      </c>
      <c r="C408" s="8">
        <v>6604.43</v>
      </c>
      <c r="D408" s="7" t="s">
        <v>1277</v>
      </c>
      <c r="E408" s="7" t="s">
        <v>1278</v>
      </c>
      <c r="F408" s="8">
        <v>255243.4895</v>
      </c>
      <c r="G408" s="4">
        <f>ABS(C408)-ABS(F408)</f>
        <v>0</v>
      </c>
      <c r="H408" s="7">
        <f>IF(ABS(G408)&lt;0.1,"OK","REVISAR")</f>
        <v>0</v>
      </c>
    </row>
    <row r="409" spans="1:8">
      <c r="A409" s="5" t="s">
        <v>1279</v>
      </c>
      <c r="B409" s="5" t="s">
        <v>893</v>
      </c>
      <c r="C409" s="6">
        <v>240612.32</v>
      </c>
      <c r="D409" s="5"/>
      <c r="E409" s="5"/>
      <c r="F409" s="5"/>
      <c r="G409" s="5"/>
      <c r="H409" s="5"/>
    </row>
    <row r="410" spans="1:8">
      <c r="A410" s="5" t="s">
        <v>1280</v>
      </c>
      <c r="B410" s="5" t="s">
        <v>1281</v>
      </c>
      <c r="C410" s="6">
        <v>527799.92</v>
      </c>
      <c r="D410" s="5"/>
      <c r="E410" s="5"/>
      <c r="F410" s="5"/>
      <c r="G410" s="5"/>
      <c r="H410" s="5"/>
    </row>
    <row r="411" spans="1:8">
      <c r="A411" s="2" t="s">
        <v>1282</v>
      </c>
      <c r="B411" s="2" t="s">
        <v>1283</v>
      </c>
      <c r="C411" s="3">
        <v>2033482.26</v>
      </c>
      <c r="D411" s="2" t="s">
        <v>1284</v>
      </c>
      <c r="E411" s="2" t="s">
        <v>1285</v>
      </c>
      <c r="F411" s="3">
        <v>10726483.0397</v>
      </c>
      <c r="G411" s="4">
        <f>ABS(C411)-ABS(F411)</f>
        <v>0</v>
      </c>
      <c r="H411" s="2">
        <f>IF(ABS(G411)&lt;0.1,"OK","REVISAR")</f>
        <v>0</v>
      </c>
    </row>
    <row r="412" spans="1:8">
      <c r="A412" s="5" t="s">
        <v>1286</v>
      </c>
      <c r="B412" s="5" t="s">
        <v>1287</v>
      </c>
      <c r="C412" s="6">
        <v>955608.6899999999</v>
      </c>
      <c r="D412" s="5"/>
      <c r="E412" s="5"/>
      <c r="F412" s="5"/>
      <c r="G412" s="5"/>
      <c r="H412" s="5"/>
    </row>
    <row r="413" spans="1:8">
      <c r="A413" s="7" t="s">
        <v>1288</v>
      </c>
      <c r="B413" s="7" t="s">
        <v>1289</v>
      </c>
      <c r="C413" s="8">
        <v>955608.6899999999</v>
      </c>
      <c r="D413" s="7" t="s">
        <v>1290</v>
      </c>
      <c r="E413" s="7" t="s">
        <v>1291</v>
      </c>
      <c r="F413" s="8">
        <v>4471914.26</v>
      </c>
      <c r="G413" s="4">
        <f>ABS(C413)-ABS(F413)</f>
        <v>0</v>
      </c>
      <c r="H413" s="7">
        <f>IF(ABS(G413)&lt;0.1,"OK","REVISAR")</f>
        <v>0</v>
      </c>
    </row>
    <row r="414" spans="1:8">
      <c r="A414" s="5" t="s">
        <v>1292</v>
      </c>
      <c r="B414" s="5" t="s">
        <v>1293</v>
      </c>
      <c r="C414" s="6">
        <v>0</v>
      </c>
      <c r="D414" s="5"/>
      <c r="E414" s="5"/>
      <c r="F414" s="5"/>
      <c r="G414" s="5"/>
      <c r="H414" s="5"/>
    </row>
    <row r="415" spans="1:8">
      <c r="A415" s="7" t="s">
        <v>1294</v>
      </c>
      <c r="B415" s="7" t="s">
        <v>1295</v>
      </c>
      <c r="C415" s="8">
        <v>0</v>
      </c>
      <c r="D415" s="7" t="s">
        <v>1296</v>
      </c>
      <c r="E415" s="7" t="s">
        <v>1297</v>
      </c>
      <c r="F415" s="8">
        <v>0</v>
      </c>
      <c r="G415" s="4">
        <f>ABS(C415)-ABS(F415)</f>
        <v>0</v>
      </c>
      <c r="H415" s="7">
        <f>IF(ABS(G415)&lt;0.1,"OK","REVISAR")</f>
        <v>0</v>
      </c>
    </row>
    <row r="416" spans="1:8">
      <c r="A416" s="5" t="s">
        <v>1298</v>
      </c>
      <c r="B416" s="5" t="s">
        <v>1299</v>
      </c>
      <c r="C416" s="6">
        <v>5936.97</v>
      </c>
      <c r="D416" s="5"/>
      <c r="E416" s="5"/>
      <c r="F416" s="5"/>
      <c r="G416" s="5"/>
      <c r="H416" s="5"/>
    </row>
    <row r="417" spans="1:8">
      <c r="A417" s="7" t="s">
        <v>1300</v>
      </c>
      <c r="B417" s="7" t="s">
        <v>1301</v>
      </c>
      <c r="C417" s="8">
        <v>5936.97</v>
      </c>
      <c r="D417" s="7" t="s">
        <v>1302</v>
      </c>
      <c r="E417" s="7" t="s">
        <v>1303</v>
      </c>
      <c r="F417" s="8">
        <v>18875.09</v>
      </c>
      <c r="G417" s="4">
        <f>ABS(C417)-ABS(F417)</f>
        <v>0</v>
      </c>
      <c r="H417" s="7">
        <f>IF(ABS(G417)&lt;0.1,"OK","REVISAR")</f>
        <v>0</v>
      </c>
    </row>
    <row r="418" spans="1:8">
      <c r="A418" s="5" t="s">
        <v>1304</v>
      </c>
      <c r="B418" s="5" t="s">
        <v>1305</v>
      </c>
      <c r="C418" s="6">
        <v>6675.46</v>
      </c>
      <c r="D418" s="5"/>
      <c r="E418" s="5"/>
      <c r="F418" s="5"/>
      <c r="G418" s="5"/>
      <c r="H418" s="5"/>
    </row>
    <row r="419" spans="1:8">
      <c r="A419" s="7" t="s">
        <v>1306</v>
      </c>
      <c r="B419" s="7" t="s">
        <v>1307</v>
      </c>
      <c r="C419" s="8">
        <v>6675.46</v>
      </c>
      <c r="D419" s="7" t="s">
        <v>1308</v>
      </c>
      <c r="E419" s="7" t="s">
        <v>1309</v>
      </c>
      <c r="F419" s="8">
        <v>40864.54</v>
      </c>
      <c r="G419" s="4">
        <f>ABS(C419)-ABS(F419)</f>
        <v>0</v>
      </c>
      <c r="H419" s="7">
        <f>IF(ABS(G419)&lt;0.1,"OK","REVISAR")</f>
        <v>0</v>
      </c>
    </row>
    <row r="420" spans="1:8">
      <c r="A420" s="5" t="s">
        <v>1310</v>
      </c>
      <c r="B420" s="5" t="s">
        <v>1311</v>
      </c>
      <c r="C420" s="6">
        <v>1436.15</v>
      </c>
      <c r="D420" s="5"/>
      <c r="E420" s="5"/>
      <c r="F420" s="5"/>
      <c r="G420" s="5"/>
      <c r="H420" s="5"/>
    </row>
    <row r="421" spans="1:8">
      <c r="A421" s="7" t="s">
        <v>1312</v>
      </c>
      <c r="B421" s="7" t="s">
        <v>1313</v>
      </c>
      <c r="C421" s="8">
        <v>1436.15</v>
      </c>
      <c r="D421" s="7" t="s">
        <v>1314</v>
      </c>
      <c r="E421" s="7" t="s">
        <v>1315</v>
      </c>
      <c r="F421" s="8">
        <v>149124.18</v>
      </c>
      <c r="G421" s="4">
        <f>ABS(C421)-ABS(F421)</f>
        <v>0</v>
      </c>
      <c r="H421" s="7">
        <f>IF(ABS(G421)&lt;0.1,"OK","REVISAR")</f>
        <v>0</v>
      </c>
    </row>
    <row r="422" spans="1:8">
      <c r="A422" s="5" t="s">
        <v>1316</v>
      </c>
      <c r="B422" s="5" t="s">
        <v>1317</v>
      </c>
      <c r="C422" s="6">
        <v>97160</v>
      </c>
      <c r="D422" s="5"/>
      <c r="E422" s="5"/>
      <c r="F422" s="5"/>
      <c r="G422" s="5"/>
      <c r="H422" s="5"/>
    </row>
    <row r="423" spans="1:8">
      <c r="A423" s="7" t="s">
        <v>1318</v>
      </c>
      <c r="B423" s="7" t="s">
        <v>1319</v>
      </c>
      <c r="C423" s="8">
        <v>97160</v>
      </c>
      <c r="D423" s="7" t="s">
        <v>1320</v>
      </c>
      <c r="E423" s="7" t="s">
        <v>1321</v>
      </c>
      <c r="F423" s="8">
        <v>425471.17</v>
      </c>
      <c r="G423" s="4">
        <f>ABS(C423)-ABS(F423)</f>
        <v>0</v>
      </c>
      <c r="H423" s="7">
        <f>IF(ABS(G423)&lt;0.1,"OK","REVISAR")</f>
        <v>0</v>
      </c>
    </row>
    <row r="424" spans="1:8">
      <c r="A424" s="5" t="s">
        <v>1322</v>
      </c>
      <c r="B424" s="5" t="s">
        <v>1323</v>
      </c>
      <c r="C424" s="6">
        <v>5974.88</v>
      </c>
      <c r="D424" s="5"/>
      <c r="E424" s="5"/>
      <c r="F424" s="5"/>
      <c r="G424" s="5"/>
      <c r="H424" s="5"/>
    </row>
    <row r="425" spans="1:8">
      <c r="A425" s="7" t="s">
        <v>1324</v>
      </c>
      <c r="B425" s="7" t="s">
        <v>1325</v>
      </c>
      <c r="C425" s="8">
        <v>5974.88</v>
      </c>
      <c r="D425" s="7" t="s">
        <v>1326</v>
      </c>
      <c r="E425" s="7" t="s">
        <v>1327</v>
      </c>
      <c r="F425" s="8">
        <v>49853.7</v>
      </c>
      <c r="G425" s="4">
        <f>ABS(C425)-ABS(F425)</f>
        <v>0</v>
      </c>
      <c r="H425" s="7">
        <f>IF(ABS(G425)&lt;0.1,"OK","REVISAR")</f>
        <v>0</v>
      </c>
    </row>
    <row r="426" spans="1:8">
      <c r="A426" s="5" t="s">
        <v>1328</v>
      </c>
      <c r="B426" s="5" t="s">
        <v>1329</v>
      </c>
      <c r="C426" s="6">
        <v>177024.01</v>
      </c>
      <c r="D426" s="5"/>
      <c r="E426" s="5"/>
      <c r="F426" s="5"/>
      <c r="G426" s="5"/>
      <c r="H426" s="5"/>
    </row>
    <row r="427" spans="1:8">
      <c r="A427" s="7" t="s">
        <v>1330</v>
      </c>
      <c r="B427" s="7" t="s">
        <v>1331</v>
      </c>
      <c r="C427" s="8">
        <v>177024.01</v>
      </c>
      <c r="D427" s="7" t="s">
        <v>1332</v>
      </c>
      <c r="E427" s="7" t="s">
        <v>1333</v>
      </c>
      <c r="F427" s="8">
        <v>737035.3100000001</v>
      </c>
      <c r="G427" s="4">
        <f>ABS(C427)-ABS(F427)</f>
        <v>0</v>
      </c>
      <c r="H427" s="7">
        <f>IF(ABS(G427)&lt;0.1,"OK","REVISAR")</f>
        <v>0</v>
      </c>
    </row>
    <row r="428" spans="1:8">
      <c r="A428" s="5" t="s">
        <v>1334</v>
      </c>
      <c r="B428" s="5" t="s">
        <v>1335</v>
      </c>
      <c r="C428" s="6">
        <v>27148.69</v>
      </c>
      <c r="D428" s="5"/>
      <c r="E428" s="5"/>
      <c r="F428" s="5"/>
      <c r="G428" s="5"/>
      <c r="H428" s="5"/>
    </row>
    <row r="429" spans="1:8">
      <c r="A429" s="7" t="s">
        <v>1336</v>
      </c>
      <c r="B429" s="7" t="s">
        <v>1337</v>
      </c>
      <c r="C429" s="8">
        <v>25984.51</v>
      </c>
      <c r="D429" s="7" t="s">
        <v>1338</v>
      </c>
      <c r="E429" s="7" t="s">
        <v>1339</v>
      </c>
      <c r="F429" s="8">
        <v>105864.95</v>
      </c>
      <c r="G429" s="4">
        <f>ABS(C429)-ABS(F429)</f>
        <v>0</v>
      </c>
      <c r="H429" s="7">
        <f>IF(ABS(G429)&lt;0.1,"OK","REVISAR")</f>
        <v>0</v>
      </c>
    </row>
    <row r="430" spans="1:8">
      <c r="A430" s="7" t="s">
        <v>1340</v>
      </c>
      <c r="B430" s="7" t="s">
        <v>1341</v>
      </c>
      <c r="C430" s="8">
        <v>1164.18</v>
      </c>
      <c r="D430" s="7" t="s">
        <v>1342</v>
      </c>
      <c r="E430" s="7" t="s">
        <v>95</v>
      </c>
      <c r="F430" s="8">
        <v>0</v>
      </c>
      <c r="G430" s="4">
        <f>ABS(C430)-ABS(F430)</f>
        <v>0</v>
      </c>
      <c r="H430" s="7">
        <f>IF(ABS(G430)&lt;0.1,"OK","REVISAR")</f>
        <v>0</v>
      </c>
    </row>
    <row r="431" spans="1:8">
      <c r="A431" s="5" t="s">
        <v>1343</v>
      </c>
      <c r="B431" s="5" t="s">
        <v>1344</v>
      </c>
      <c r="C431" s="6">
        <v>87479.81</v>
      </c>
      <c r="D431" s="5"/>
      <c r="E431" s="5"/>
      <c r="F431" s="5"/>
      <c r="G431" s="5"/>
      <c r="H431" s="5"/>
    </row>
    <row r="432" spans="1:8">
      <c r="A432" s="7" t="s">
        <v>1345</v>
      </c>
      <c r="B432" s="7" t="s">
        <v>1346</v>
      </c>
      <c r="C432" s="8">
        <v>87479.81</v>
      </c>
      <c r="D432" s="7" t="s">
        <v>1347</v>
      </c>
      <c r="E432" s="7" t="s">
        <v>1348</v>
      </c>
      <c r="F432" s="8">
        <v>423770.62</v>
      </c>
      <c r="G432" s="4">
        <f>ABS(C432)-ABS(F432)</f>
        <v>0</v>
      </c>
      <c r="H432" s="7">
        <f>IF(ABS(G432)&lt;0.1,"OK","REVISAR")</f>
        <v>0</v>
      </c>
    </row>
    <row r="433" spans="1:8">
      <c r="A433" s="5" t="s">
        <v>1349</v>
      </c>
      <c r="B433" s="5" t="s">
        <v>1350</v>
      </c>
      <c r="C433" s="6">
        <v>36354.1</v>
      </c>
      <c r="D433" s="5"/>
      <c r="E433" s="5"/>
      <c r="F433" s="5"/>
      <c r="G433" s="5"/>
      <c r="H433" s="5"/>
    </row>
    <row r="434" spans="1:8">
      <c r="A434" s="7" t="s">
        <v>1351</v>
      </c>
      <c r="B434" s="7" t="s">
        <v>1352</v>
      </c>
      <c r="C434" s="8">
        <v>36354.1</v>
      </c>
      <c r="D434" s="7" t="s">
        <v>1353</v>
      </c>
      <c r="E434" s="7" t="s">
        <v>1354</v>
      </c>
      <c r="F434" s="8">
        <v>151447.86</v>
      </c>
      <c r="G434" s="4">
        <f>ABS(C434)-ABS(F434)</f>
        <v>0</v>
      </c>
      <c r="H434" s="7">
        <f>IF(ABS(G434)&lt;0.1,"OK","REVISAR")</f>
        <v>0</v>
      </c>
    </row>
    <row r="435" spans="1:8">
      <c r="A435" s="5" t="s">
        <v>1355</v>
      </c>
      <c r="B435" s="5" t="s">
        <v>1356</v>
      </c>
      <c r="C435" s="6">
        <v>64115.35</v>
      </c>
      <c r="D435" s="5"/>
      <c r="E435" s="5"/>
      <c r="F435" s="5"/>
      <c r="G435" s="5"/>
      <c r="H435" s="5"/>
    </row>
    <row r="436" spans="1:8">
      <c r="A436" s="7" t="s">
        <v>1357</v>
      </c>
      <c r="B436" s="7" t="s">
        <v>1358</v>
      </c>
      <c r="C436" s="8">
        <v>64115.35</v>
      </c>
      <c r="D436" s="7" t="s">
        <v>1359</v>
      </c>
      <c r="E436" s="7" t="s">
        <v>1360</v>
      </c>
      <c r="F436" s="8">
        <v>416715.22</v>
      </c>
      <c r="G436" s="4">
        <f>ABS(C436)-ABS(F436)</f>
        <v>0</v>
      </c>
      <c r="H436" s="7">
        <f>IF(ABS(G436)&lt;0.1,"OK","REVISAR")</f>
        <v>0</v>
      </c>
    </row>
    <row r="437" spans="1:8">
      <c r="A437" s="5" t="s">
        <v>1361</v>
      </c>
      <c r="B437" s="5" t="s">
        <v>1362</v>
      </c>
      <c r="C437" s="6">
        <v>43902</v>
      </c>
      <c r="D437" s="5"/>
      <c r="E437" s="5"/>
      <c r="F437" s="5"/>
      <c r="G437" s="5"/>
      <c r="H437" s="5"/>
    </row>
    <row r="438" spans="1:8">
      <c r="A438" s="7" t="s">
        <v>1363</v>
      </c>
      <c r="B438" s="7" t="s">
        <v>1364</v>
      </c>
      <c r="C438" s="8">
        <v>43902</v>
      </c>
      <c r="D438" s="7" t="s">
        <v>1365</v>
      </c>
      <c r="E438" s="7" t="s">
        <v>1366</v>
      </c>
      <c r="F438" s="8">
        <v>209990.19</v>
      </c>
      <c r="G438" s="4">
        <f>ABS(C438)-ABS(F438)</f>
        <v>0</v>
      </c>
      <c r="H438" s="7">
        <f>IF(ABS(G438)&lt;0.1,"OK","REVISAR")</f>
        <v>0</v>
      </c>
    </row>
    <row r="439" spans="1:8">
      <c r="A439" s="5" t="s">
        <v>1367</v>
      </c>
      <c r="B439" s="5" t="s">
        <v>1368</v>
      </c>
      <c r="C439" s="6">
        <v>10588.5</v>
      </c>
      <c r="D439" s="5"/>
      <c r="E439" s="5"/>
      <c r="F439" s="5"/>
      <c r="G439" s="5"/>
      <c r="H439" s="5"/>
    </row>
    <row r="440" spans="1:8">
      <c r="A440" s="7" t="s">
        <v>1369</v>
      </c>
      <c r="B440" s="7" t="s">
        <v>1370</v>
      </c>
      <c r="C440" s="8">
        <v>10588.5</v>
      </c>
      <c r="D440" s="7" t="s">
        <v>1371</v>
      </c>
      <c r="E440" s="7" t="s">
        <v>1372</v>
      </c>
      <c r="F440" s="8">
        <v>57561.55</v>
      </c>
      <c r="G440" s="4">
        <f>ABS(C440)-ABS(F440)</f>
        <v>0</v>
      </c>
      <c r="H440" s="7">
        <f>IF(ABS(G440)&lt;0.1,"OK","REVISAR")</f>
        <v>0</v>
      </c>
    </row>
    <row r="441" spans="1:8">
      <c r="A441" s="5" t="s">
        <v>1373</v>
      </c>
      <c r="B441" s="5" t="s">
        <v>1248</v>
      </c>
      <c r="C441" s="6">
        <v>23129.37</v>
      </c>
      <c r="D441" s="5"/>
      <c r="E441" s="5"/>
      <c r="F441" s="5"/>
      <c r="G441" s="5"/>
      <c r="H441" s="5"/>
    </row>
    <row r="442" spans="1:8">
      <c r="A442" s="7" t="s">
        <v>1374</v>
      </c>
      <c r="B442" s="7" t="s">
        <v>1375</v>
      </c>
      <c r="C442" s="8">
        <v>23129.37</v>
      </c>
      <c r="D442" s="7" t="s">
        <v>1376</v>
      </c>
      <c r="E442" s="7" t="s">
        <v>1256</v>
      </c>
      <c r="F442" s="8">
        <v>167073.42</v>
      </c>
      <c r="G442" s="4">
        <f>ABS(C442)-ABS(F442)</f>
        <v>0</v>
      </c>
      <c r="H442" s="7">
        <f>IF(ABS(G442)&lt;0.1,"OK","REVISAR")</f>
        <v>0</v>
      </c>
    </row>
    <row r="443" spans="1:8">
      <c r="A443" s="5" t="s">
        <v>1377</v>
      </c>
      <c r="B443" s="5" t="s">
        <v>1378</v>
      </c>
      <c r="C443" s="6">
        <v>19094.03</v>
      </c>
      <c r="D443" s="5"/>
      <c r="E443" s="5"/>
      <c r="F443" s="5"/>
      <c r="G443" s="5"/>
      <c r="H443" s="5"/>
    </row>
    <row r="444" spans="1:8">
      <c r="A444" s="7" t="s">
        <v>1379</v>
      </c>
      <c r="B444" s="7" t="s">
        <v>1380</v>
      </c>
      <c r="C444" s="8">
        <v>19094.03</v>
      </c>
      <c r="D444" s="7" t="s">
        <v>1381</v>
      </c>
      <c r="E444" s="7" t="s">
        <v>1382</v>
      </c>
      <c r="F444" s="8">
        <v>92599.41</v>
      </c>
      <c r="G444" s="4">
        <f>ABS(C444)-ABS(F444)</f>
        <v>0</v>
      </c>
      <c r="H444" s="7">
        <f>IF(ABS(G444)&lt;0.1,"OK","REVISAR")</f>
        <v>0</v>
      </c>
    </row>
    <row r="445" spans="1:8">
      <c r="A445" s="5" t="s">
        <v>1383</v>
      </c>
      <c r="B445" s="5" t="s">
        <v>1384</v>
      </c>
      <c r="C445" s="6">
        <v>39175.63</v>
      </c>
      <c r="D445" s="5"/>
      <c r="E445" s="5"/>
      <c r="F445" s="5"/>
      <c r="G445" s="5"/>
      <c r="H445" s="5"/>
    </row>
    <row r="446" spans="1:8">
      <c r="A446" s="7" t="s">
        <v>1385</v>
      </c>
      <c r="B446" s="7" t="s">
        <v>1386</v>
      </c>
      <c r="C446" s="8">
        <v>38729.07</v>
      </c>
      <c r="D446" s="7" t="s">
        <v>1387</v>
      </c>
      <c r="E446" s="7" t="s">
        <v>1388</v>
      </c>
      <c r="F446" s="8">
        <v>6604.54</v>
      </c>
      <c r="G446" s="4">
        <f>ABS(C446)-ABS(F446)</f>
        <v>0</v>
      </c>
      <c r="H446" s="7">
        <f>IF(ABS(G446)&lt;0.1,"OK","REVISAR")</f>
        <v>0</v>
      </c>
    </row>
    <row r="447" spans="1:8">
      <c r="A447" s="7" t="s">
        <v>1389</v>
      </c>
      <c r="B447" s="7" t="s">
        <v>1390</v>
      </c>
      <c r="C447" s="8">
        <v>446.56</v>
      </c>
      <c r="D447" s="7" t="s">
        <v>1391</v>
      </c>
      <c r="E447" s="7" t="s">
        <v>1392</v>
      </c>
      <c r="F447" s="8">
        <v>1471.34</v>
      </c>
      <c r="G447" s="4">
        <f>ABS(C447)-ABS(F447)</f>
        <v>0</v>
      </c>
      <c r="H447" s="7">
        <f>IF(ABS(G447)&lt;0.1,"OK","REVISAR")</f>
        <v>0</v>
      </c>
    </row>
    <row r="448" spans="1:8">
      <c r="A448" s="5" t="s">
        <v>1393</v>
      </c>
      <c r="B448" s="5" t="s">
        <v>1394</v>
      </c>
      <c r="C448" s="6">
        <v>121918.47</v>
      </c>
      <c r="D448" s="5"/>
      <c r="E448" s="5"/>
      <c r="F448" s="5"/>
      <c r="G448" s="5"/>
      <c r="H448" s="5"/>
    </row>
    <row r="449" spans="1:8">
      <c r="A449" s="7" t="s">
        <v>1395</v>
      </c>
      <c r="B449" s="7" t="s">
        <v>1396</v>
      </c>
      <c r="C449" s="8">
        <v>7549.42</v>
      </c>
      <c r="D449" s="7" t="s">
        <v>1397</v>
      </c>
      <c r="E449" s="7" t="s">
        <v>1398</v>
      </c>
      <c r="F449" s="8">
        <v>40365.94</v>
      </c>
      <c r="G449" s="4">
        <f>ABS(C449)-ABS(F449)</f>
        <v>0</v>
      </c>
      <c r="H449" s="7">
        <f>IF(ABS(G449)&lt;0.1,"OK","REVISAR")</f>
        <v>0</v>
      </c>
    </row>
    <row r="450" spans="1:8">
      <c r="A450" s="7" t="s">
        <v>1399</v>
      </c>
      <c r="B450" s="7" t="s">
        <v>1400</v>
      </c>
      <c r="C450" s="8">
        <v>114369.05</v>
      </c>
      <c r="D450" s="7" t="s">
        <v>1401</v>
      </c>
      <c r="E450" s="7" t="s">
        <v>1402</v>
      </c>
      <c r="F450" s="8">
        <v>364013.9</v>
      </c>
      <c r="G450" s="4">
        <f>ABS(C450)-ABS(F450)</f>
        <v>0</v>
      </c>
      <c r="H450" s="7">
        <f>IF(ABS(G450)&lt;0.1,"OK","REVISAR")</f>
        <v>0</v>
      </c>
    </row>
    <row r="451" spans="1:8">
      <c r="A451" s="5" t="s">
        <v>1403</v>
      </c>
      <c r="B451" s="5" t="s">
        <v>1404</v>
      </c>
      <c r="C451" s="6">
        <v>4973.969999999999</v>
      </c>
      <c r="D451" s="5"/>
      <c r="E451" s="5"/>
      <c r="F451" s="5"/>
      <c r="G451" s="5"/>
      <c r="H451" s="5"/>
    </row>
    <row r="452" spans="1:8">
      <c r="A452" s="2" t="s">
        <v>14</v>
      </c>
      <c r="B452" s="2" t="s">
        <v>1405</v>
      </c>
      <c r="C452" s="3">
        <v>4973.969999999999</v>
      </c>
      <c r="D452" s="2" t="s">
        <v>1406</v>
      </c>
      <c r="E452" s="2" t="s">
        <v>1407</v>
      </c>
      <c r="F452" s="3">
        <v>27547.3</v>
      </c>
      <c r="G452" s="4">
        <f>ABS(C452)-ABS(F452)</f>
        <v>0</v>
      </c>
      <c r="H452" s="2">
        <f>IF(ABS(G452)&lt;0.1,"OK","REVISAR")</f>
        <v>0</v>
      </c>
    </row>
    <row r="453" spans="1:8">
      <c r="A453" s="7" t="s">
        <v>1408</v>
      </c>
      <c r="B453" s="7" t="s">
        <v>1409</v>
      </c>
      <c r="C453" s="8">
        <v>4437.32</v>
      </c>
      <c r="D453" s="7" t="s">
        <v>1406</v>
      </c>
      <c r="E453" s="7" t="s">
        <v>1407</v>
      </c>
      <c r="F453" s="7"/>
      <c r="G453" s="7"/>
      <c r="H453" s="7"/>
    </row>
    <row r="454" spans="1:8">
      <c r="A454" s="7" t="s">
        <v>1410</v>
      </c>
      <c r="B454" s="7" t="s">
        <v>1411</v>
      </c>
      <c r="C454" s="8">
        <v>536.65</v>
      </c>
      <c r="D454" s="7" t="s">
        <v>1406</v>
      </c>
      <c r="E454" s="7" t="s">
        <v>1407</v>
      </c>
      <c r="F454" s="7"/>
      <c r="G454" s="7"/>
      <c r="H454" s="7"/>
    </row>
    <row r="455" spans="1:8">
      <c r="A455" s="5" t="s">
        <v>1412</v>
      </c>
      <c r="B455" s="5" t="s">
        <v>1413</v>
      </c>
      <c r="C455" s="6">
        <v>9435.780000000001</v>
      </c>
      <c r="D455" s="5"/>
      <c r="E455" s="5"/>
      <c r="F455" s="5"/>
      <c r="G455" s="5"/>
      <c r="H455" s="5"/>
    </row>
    <row r="456" spans="1:8">
      <c r="A456" s="7" t="s">
        <v>1414</v>
      </c>
      <c r="B456" s="7" t="s">
        <v>1415</v>
      </c>
      <c r="C456" s="8">
        <v>9435.780000000001</v>
      </c>
      <c r="D456" s="7" t="s">
        <v>1416</v>
      </c>
      <c r="E456" s="7" t="s">
        <v>1417</v>
      </c>
      <c r="F456" s="8">
        <v>92168.71000000001</v>
      </c>
      <c r="G456" s="4">
        <f>ABS(C456)-ABS(F456)</f>
        <v>0</v>
      </c>
      <c r="H456" s="7">
        <f>IF(ABS(G456)&lt;0.1,"OK","REVISAR")</f>
        <v>0</v>
      </c>
    </row>
    <row r="457" spans="1:8">
      <c r="A457" s="5" t="s">
        <v>1418</v>
      </c>
      <c r="B457" s="5" t="s">
        <v>1419</v>
      </c>
      <c r="C457" s="6">
        <v>42545.02</v>
      </c>
      <c r="D457" s="5"/>
      <c r="E457" s="5"/>
      <c r="F457" s="5"/>
      <c r="G457" s="5"/>
      <c r="H457" s="5"/>
    </row>
    <row r="458" spans="1:8">
      <c r="A458" s="7" t="s">
        <v>1420</v>
      </c>
      <c r="B458" s="7" t="s">
        <v>1421</v>
      </c>
      <c r="C458" s="8">
        <v>630</v>
      </c>
      <c r="D458" s="7" t="s">
        <v>1422</v>
      </c>
      <c r="E458" s="7" t="s">
        <v>1423</v>
      </c>
      <c r="F458" s="8">
        <v>23413.2</v>
      </c>
      <c r="G458" s="4">
        <f>ABS(C458)-ABS(F458)</f>
        <v>0</v>
      </c>
      <c r="H458" s="7">
        <f>IF(ABS(G458)&lt;0.1,"OK","REVISAR")</f>
        <v>0</v>
      </c>
    </row>
    <row r="459" spans="1:8">
      <c r="A459" s="7" t="s">
        <v>1424</v>
      </c>
      <c r="B459" s="7" t="s">
        <v>1425</v>
      </c>
      <c r="C459" s="8">
        <v>41915.02</v>
      </c>
      <c r="D459" s="7" t="s">
        <v>1426</v>
      </c>
      <c r="E459" s="7" t="s">
        <v>1427</v>
      </c>
      <c r="F459" s="8">
        <v>76669.85000000001</v>
      </c>
      <c r="G459" s="4">
        <f>ABS(C459)-ABS(F459)</f>
        <v>0</v>
      </c>
      <c r="H459" s="7">
        <f>IF(ABS(G459)&lt;0.1,"OK","REVISAR")</f>
        <v>0</v>
      </c>
    </row>
    <row r="460" spans="1:8">
      <c r="A460" s="5" t="s">
        <v>1428</v>
      </c>
      <c r="B460" s="5" t="s">
        <v>1429</v>
      </c>
      <c r="C460" s="6">
        <v>9389.200000000001</v>
      </c>
      <c r="D460" s="5"/>
      <c r="E460" s="5"/>
      <c r="F460" s="5"/>
      <c r="G460" s="5"/>
      <c r="H460" s="5"/>
    </row>
    <row r="461" spans="1:8">
      <c r="A461" s="7" t="s">
        <v>1430</v>
      </c>
      <c r="B461" s="7" t="s">
        <v>1431</v>
      </c>
      <c r="C461" s="8">
        <v>9389.200000000001</v>
      </c>
      <c r="D461" s="7" t="s">
        <v>1432</v>
      </c>
      <c r="E461" s="7" t="s">
        <v>1433</v>
      </c>
      <c r="F461" s="8">
        <v>30410.93</v>
      </c>
      <c r="G461" s="4">
        <f>ABS(C461)-ABS(F461)</f>
        <v>0</v>
      </c>
      <c r="H461" s="7">
        <f>IF(ABS(G461)&lt;0.1,"OK","REVISAR")</f>
        <v>0</v>
      </c>
    </row>
    <row r="462" spans="1:8">
      <c r="A462" s="5" t="s">
        <v>1434</v>
      </c>
      <c r="B462" s="5" t="s">
        <v>1435</v>
      </c>
      <c r="C462" s="6">
        <v>5633.87</v>
      </c>
      <c r="D462" s="5"/>
      <c r="E462" s="5"/>
      <c r="F462" s="5"/>
      <c r="G462" s="5"/>
      <c r="H462" s="5"/>
    </row>
    <row r="463" spans="1:8">
      <c r="A463" s="7" t="s">
        <v>1436</v>
      </c>
      <c r="B463" s="7" t="s">
        <v>1437</v>
      </c>
      <c r="C463" s="8">
        <v>5633.87</v>
      </c>
      <c r="D463" s="7" t="s">
        <v>1438</v>
      </c>
      <c r="E463" s="7" t="s">
        <v>1439</v>
      </c>
      <c r="F463" s="8">
        <v>104999.64</v>
      </c>
      <c r="G463" s="4">
        <f>ABS(C463)-ABS(F463)</f>
        <v>0</v>
      </c>
      <c r="H463" s="7">
        <f>IF(ABS(G463)&lt;0.1,"OK","REVISAR")</f>
        <v>0</v>
      </c>
    </row>
    <row r="464" spans="1:8">
      <c r="A464" s="2" t="s">
        <v>14</v>
      </c>
      <c r="B464" s="2" t="s">
        <v>1440</v>
      </c>
      <c r="C464" s="3">
        <v>240482.31</v>
      </c>
      <c r="D464" s="2" t="s">
        <v>1441</v>
      </c>
      <c r="E464" s="2" t="s">
        <v>1442</v>
      </c>
      <c r="F464" s="3">
        <v>65540.47</v>
      </c>
      <c r="G464" s="4">
        <f>ABS(C464)-ABS(F464)</f>
        <v>0</v>
      </c>
      <c r="H464" s="2">
        <f>IF(ABS(G464)&lt;0.1,"OK","REVISAR")</f>
        <v>0</v>
      </c>
    </row>
    <row r="465" spans="1:8">
      <c r="A465" s="7" t="s">
        <v>1443</v>
      </c>
      <c r="B465" s="7" t="s">
        <v>1444</v>
      </c>
      <c r="C465" s="8">
        <v>238782.31</v>
      </c>
      <c r="D465" s="7" t="s">
        <v>1441</v>
      </c>
      <c r="E465" s="7" t="s">
        <v>1442</v>
      </c>
      <c r="F465" s="7"/>
      <c r="G465" s="7"/>
      <c r="H465" s="7"/>
    </row>
    <row r="466" spans="1:8">
      <c r="A466" s="7" t="s">
        <v>1445</v>
      </c>
      <c r="B466" s="7" t="s">
        <v>1446</v>
      </c>
      <c r="C466" s="8">
        <v>1700</v>
      </c>
      <c r="D466" s="7" t="s">
        <v>1441</v>
      </c>
      <c r="E466" s="7" t="s">
        <v>1442</v>
      </c>
      <c r="F466" s="7"/>
      <c r="G466" s="7"/>
      <c r="H466" s="7"/>
    </row>
    <row r="467" spans="1:8">
      <c r="A467" s="5" t="s">
        <v>1447</v>
      </c>
      <c r="B467" s="5" t="s">
        <v>1448</v>
      </c>
      <c r="C467" s="6">
        <v>83034.50999999999</v>
      </c>
      <c r="D467" s="5"/>
      <c r="E467" s="5"/>
      <c r="F467" s="5"/>
      <c r="G467" s="5"/>
      <c r="H467" s="5"/>
    </row>
    <row r="468" spans="1:8">
      <c r="A468" s="7" t="s">
        <v>1449</v>
      </c>
      <c r="B468" s="7" t="s">
        <v>1450</v>
      </c>
      <c r="C468" s="8">
        <v>150125.9</v>
      </c>
      <c r="D468" s="7" t="s">
        <v>1451</v>
      </c>
      <c r="E468" s="7" t="s">
        <v>1452</v>
      </c>
      <c r="F468" s="8">
        <v>780196.8797</v>
      </c>
      <c r="G468" s="4">
        <f>ABS(C468)-ABS(F468)</f>
        <v>0</v>
      </c>
      <c r="H468" s="7">
        <f>IF(ABS(G468)&lt;0.1,"OK","REVISAR")</f>
        <v>0</v>
      </c>
    </row>
    <row r="469" spans="1:8">
      <c r="A469" s="7" t="s">
        <v>1453</v>
      </c>
      <c r="B469" s="7" t="s">
        <v>1454</v>
      </c>
      <c r="C469" s="8">
        <v>3921.9</v>
      </c>
      <c r="D469" s="7" t="s">
        <v>1455</v>
      </c>
      <c r="E469" s="7" t="s">
        <v>1456</v>
      </c>
      <c r="F469" s="8">
        <v>1427.19</v>
      </c>
      <c r="G469" s="4">
        <f>ABS(C469)-ABS(F469)</f>
        <v>0</v>
      </c>
      <c r="H469" s="7">
        <f>IF(ABS(G469)&lt;0.1,"OK","REVISAR")</f>
        <v>0</v>
      </c>
    </row>
    <row r="470" spans="1:8">
      <c r="A470" s="2" t="s">
        <v>1457</v>
      </c>
      <c r="B470" s="2" t="s">
        <v>1458</v>
      </c>
      <c r="C470" s="3">
        <v>277333.2</v>
      </c>
      <c r="D470" s="2" t="s">
        <v>1459</v>
      </c>
      <c r="E470" s="2" t="s">
        <v>1460</v>
      </c>
      <c r="F470" s="3">
        <v>1340930.49</v>
      </c>
      <c r="G470" s="4">
        <f>ABS(C470)-ABS(F470)</f>
        <v>0</v>
      </c>
      <c r="H470" s="2">
        <f>IF(ABS(G470)&lt;0.1,"OK","REVISAR")</f>
        <v>0</v>
      </c>
    </row>
    <row r="471" spans="1:8">
      <c r="A471" s="5" t="s">
        <v>1461</v>
      </c>
      <c r="B471" s="5" t="s">
        <v>1462</v>
      </c>
      <c r="C471" s="6">
        <v>180856.44</v>
      </c>
      <c r="D471" s="5"/>
      <c r="E471" s="5"/>
      <c r="F471" s="5"/>
      <c r="G471" s="5"/>
      <c r="H471" s="5"/>
    </row>
    <row r="472" spans="1:8">
      <c r="A472" s="5" t="s">
        <v>1463</v>
      </c>
      <c r="B472" s="5" t="s">
        <v>1462</v>
      </c>
      <c r="C472" s="6">
        <v>180856.44</v>
      </c>
      <c r="D472" s="5"/>
      <c r="E472" s="5"/>
      <c r="F472" s="5"/>
      <c r="G472" s="5"/>
      <c r="H472" s="5"/>
    </row>
    <row r="473" spans="1:8">
      <c r="A473" s="2" t="s">
        <v>14</v>
      </c>
      <c r="B473" s="2" t="s">
        <v>1464</v>
      </c>
      <c r="C473" s="3">
        <v>159622.14</v>
      </c>
      <c r="D473" s="2" t="s">
        <v>1465</v>
      </c>
      <c r="E473" s="2" t="s">
        <v>1466</v>
      </c>
      <c r="F473" s="3">
        <v>979458.47</v>
      </c>
      <c r="G473" s="4">
        <f>ABS(C473)-ABS(F473)</f>
        <v>0</v>
      </c>
      <c r="H473" s="2">
        <f>IF(ABS(G473)&lt;0.1,"OK","REVISAR")</f>
        <v>0</v>
      </c>
    </row>
    <row r="474" spans="1:8">
      <c r="A474" s="7" t="s">
        <v>1467</v>
      </c>
      <c r="B474" s="7" t="s">
        <v>1468</v>
      </c>
      <c r="C474" s="8">
        <v>79811.07000000001</v>
      </c>
      <c r="D474" s="7" t="s">
        <v>1465</v>
      </c>
      <c r="E474" s="7" t="s">
        <v>1466</v>
      </c>
      <c r="F474" s="7"/>
      <c r="G474" s="7"/>
      <c r="H474" s="7"/>
    </row>
    <row r="475" spans="1:8">
      <c r="A475" s="7" t="s">
        <v>1469</v>
      </c>
      <c r="B475" s="7" t="s">
        <v>1470</v>
      </c>
      <c r="C475" s="8">
        <v>79811.07000000001</v>
      </c>
      <c r="D475" s="7" t="s">
        <v>1465</v>
      </c>
      <c r="E475" s="7" t="s">
        <v>1466</v>
      </c>
      <c r="F475" s="7"/>
      <c r="G475" s="7"/>
      <c r="H475" s="7"/>
    </row>
    <row r="476" spans="1:8">
      <c r="A476" s="5" t="s">
        <v>1471</v>
      </c>
      <c r="B476" s="5" t="s">
        <v>1472</v>
      </c>
      <c r="C476" s="6">
        <v>16665.69</v>
      </c>
      <c r="D476" s="5"/>
      <c r="E476" s="5"/>
      <c r="F476" s="5"/>
      <c r="G476" s="5"/>
      <c r="H476" s="5"/>
    </row>
    <row r="477" spans="1:8">
      <c r="A477" s="7" t="s">
        <v>1473</v>
      </c>
      <c r="B477" s="7" t="s">
        <v>1474</v>
      </c>
      <c r="C477" s="8">
        <v>16665.69</v>
      </c>
      <c r="D477" s="7" t="s">
        <v>1475</v>
      </c>
      <c r="E477" s="7" t="s">
        <v>1476</v>
      </c>
      <c r="F477" s="8">
        <v>15244.88</v>
      </c>
      <c r="G477" s="4">
        <f>ABS(C477)-ABS(F477)</f>
        <v>0</v>
      </c>
      <c r="H477" s="7">
        <f>IF(ABS(G477)&lt;0.1,"OK","REVISAR")</f>
        <v>0</v>
      </c>
    </row>
    <row r="478" spans="1:8">
      <c r="A478" s="2" t="s">
        <v>1477</v>
      </c>
      <c r="B478" s="2" t="s">
        <v>1478</v>
      </c>
      <c r="C478" s="3">
        <v>-141232</v>
      </c>
      <c r="D478" s="2" t="s">
        <v>1479</v>
      </c>
      <c r="E478" s="2" t="s">
        <v>1480</v>
      </c>
      <c r="F478" s="3">
        <v>517546.23</v>
      </c>
      <c r="G478" s="4">
        <f>ABS(C478)-ABS(F478)</f>
        <v>0</v>
      </c>
      <c r="H478" s="2">
        <f>IF(ABS(G478)&lt;0.1,"OK","REVISAR")</f>
        <v>0</v>
      </c>
    </row>
    <row r="479" spans="1:8">
      <c r="A479" s="5" t="s">
        <v>1481</v>
      </c>
      <c r="B479" s="5" t="s">
        <v>1482</v>
      </c>
      <c r="C479" s="6">
        <v>-141232</v>
      </c>
      <c r="D479" s="5"/>
      <c r="E479" s="5"/>
      <c r="F479" s="5"/>
      <c r="G479" s="5"/>
      <c r="H479" s="5"/>
    </row>
    <row r="480" spans="1:8">
      <c r="A480" s="5" t="s">
        <v>1483</v>
      </c>
      <c r="B480" s="5" t="s">
        <v>1482</v>
      </c>
      <c r="C480" s="6">
        <v>-141232</v>
      </c>
      <c r="D480" s="5"/>
      <c r="E480" s="5"/>
      <c r="F480" s="5"/>
      <c r="G480" s="5"/>
      <c r="H480" s="5"/>
    </row>
    <row r="481" spans="1:8">
      <c r="A481" s="2" t="s">
        <v>1484</v>
      </c>
      <c r="B481" s="2" t="s">
        <v>1485</v>
      </c>
      <c r="C481" s="3">
        <v>-0.4</v>
      </c>
      <c r="D481" s="2" t="s">
        <v>1486</v>
      </c>
      <c r="E481" s="2" t="s">
        <v>1487</v>
      </c>
      <c r="F481" s="3">
        <v>35.16</v>
      </c>
      <c r="G481" s="4">
        <f>ABS(C481)-ABS(F481)</f>
        <v>0</v>
      </c>
      <c r="H481" s="2">
        <f>IF(ABS(G481)&lt;0.1,"OK","REVISAR")</f>
        <v>0</v>
      </c>
    </row>
    <row r="482" spans="1:8">
      <c r="A482" s="5" t="s">
        <v>1488</v>
      </c>
      <c r="B482" s="5" t="s">
        <v>1489</v>
      </c>
      <c r="C482" s="6">
        <v>-0.4</v>
      </c>
      <c r="D482" s="5"/>
      <c r="E482" s="5"/>
      <c r="F482" s="5"/>
      <c r="G482" s="5"/>
      <c r="H482" s="5"/>
    </row>
    <row r="483" spans="1:8">
      <c r="A483" s="7" t="s">
        <v>1490</v>
      </c>
      <c r="B483" s="7" t="s">
        <v>1491</v>
      </c>
      <c r="C483" s="8">
        <v>-0.4</v>
      </c>
      <c r="D483" s="7" t="s">
        <v>1492</v>
      </c>
      <c r="E483" s="7" t="s">
        <v>1487</v>
      </c>
      <c r="F483" s="8">
        <v>35.16</v>
      </c>
      <c r="G483" s="4">
        <f>ABS(C483)-ABS(F483)</f>
        <v>0</v>
      </c>
      <c r="H483" s="7">
        <f>IF(ABS(G483)&lt;0.1,"OK","REVISAR")</f>
        <v>0</v>
      </c>
    </row>
    <row r="484" spans="1:8">
      <c r="A484" s="5" t="s">
        <v>1493</v>
      </c>
      <c r="B484" s="5" t="s">
        <v>1494</v>
      </c>
      <c r="C484" s="6">
        <v>0</v>
      </c>
      <c r="D484" s="5"/>
      <c r="E484" s="5"/>
      <c r="F484" s="5"/>
      <c r="G484" s="5"/>
      <c r="H484" s="5"/>
    </row>
    <row r="485" spans="1:8">
      <c r="A485" s="5" t="s">
        <v>1495</v>
      </c>
      <c r="B485" s="5" t="s">
        <v>1496</v>
      </c>
      <c r="C485" s="6">
        <v>0</v>
      </c>
      <c r="D485" s="5"/>
      <c r="E485" s="5"/>
      <c r="F485" s="5"/>
      <c r="G485" s="5"/>
      <c r="H485" s="5"/>
    </row>
    <row r="486" spans="1:8">
      <c r="A486" s="5" t="s">
        <v>1495</v>
      </c>
      <c r="B486" s="5" t="s">
        <v>1497</v>
      </c>
      <c r="C486" s="6">
        <v>0</v>
      </c>
      <c r="D486" s="5"/>
      <c r="E486" s="5"/>
      <c r="F486" s="5"/>
      <c r="G486" s="5"/>
      <c r="H486" s="5"/>
    </row>
    <row r="487" spans="1:8">
      <c r="A487" s="5" t="s">
        <v>1498</v>
      </c>
      <c r="B487" s="5" t="s">
        <v>1499</v>
      </c>
      <c r="C487" s="6">
        <v>-23250</v>
      </c>
      <c r="D487" s="5"/>
      <c r="E487" s="5"/>
      <c r="F487" s="5"/>
      <c r="G487" s="5"/>
      <c r="H487" s="5"/>
    </row>
    <row r="488" spans="1:8">
      <c r="A488" s="5" t="s">
        <v>1500</v>
      </c>
      <c r="B488" s="5" t="s">
        <v>1501</v>
      </c>
      <c r="C488" s="6">
        <v>-23250</v>
      </c>
      <c r="D488" s="5"/>
      <c r="E488" s="5"/>
      <c r="F488" s="5"/>
      <c r="G488" s="5"/>
      <c r="H488" s="5"/>
    </row>
    <row r="489" spans="1:8">
      <c r="A489" s="5" t="s">
        <v>1500</v>
      </c>
      <c r="B489" s="5" t="s">
        <v>1502</v>
      </c>
      <c r="C489" s="6">
        <v>-23250</v>
      </c>
      <c r="D489" s="5"/>
      <c r="E489" s="5"/>
      <c r="F489" s="5"/>
      <c r="G489" s="5"/>
      <c r="H489" s="5"/>
    </row>
    <row r="490" spans="1:8">
      <c r="A490" s="5" t="s">
        <v>1503</v>
      </c>
      <c r="B490" s="5" t="s">
        <v>1504</v>
      </c>
      <c r="C490" s="6">
        <v>0</v>
      </c>
      <c r="D490" s="5"/>
      <c r="E490" s="5"/>
      <c r="F490" s="5"/>
      <c r="G490" s="5"/>
      <c r="H490" s="5"/>
    </row>
    <row r="491" spans="1:8">
      <c r="A491" s="5" t="s">
        <v>1505</v>
      </c>
      <c r="B491" s="5" t="s">
        <v>1506</v>
      </c>
      <c r="C491" s="6">
        <v>0</v>
      </c>
      <c r="D491" s="5"/>
      <c r="E491" s="5"/>
      <c r="F491" s="5"/>
      <c r="G491" s="5"/>
      <c r="H491" s="5"/>
    </row>
    <row r="492" spans="1:8">
      <c r="A492" s="5" t="s">
        <v>1507</v>
      </c>
      <c r="B492" s="5" t="s">
        <v>1508</v>
      </c>
      <c r="C492" s="6">
        <v>0</v>
      </c>
      <c r="D492" s="5"/>
      <c r="E492" s="5"/>
      <c r="F492" s="5"/>
      <c r="G492" s="5"/>
      <c r="H492" s="5"/>
    </row>
  </sheetData>
  <conditionalFormatting sqref="H2:H492">
    <cfRule type="containsText" dxfId="0" priority="1" operator="containsText" text="OK">
      <formula>NOT(ISERROR(SEARCH("OK",H2)))</formula>
    </cfRule>
    <cfRule type="containsText" dxfId="1" priority="2" operator="containsText" text="REVISAR">
      <formula>NOT(ISERROR(SEARCH("REVISAR",H2)))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2026-04-14T22:44:45Z</dcterms:created>
  <dcterms:modified xsi:type="dcterms:W3CDTF">2026-04-14T22:44:45Z</dcterms:modified>
</cp:coreProperties>
</file>